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d/Dropbox/Research/Olas de calor RM y parto pretérmino/HeatWave_PretermBirth_Chile/Output/Descriptives/"/>
    </mc:Choice>
  </mc:AlternateContent>
  <xr:revisionPtr revIDLastSave="0" documentId="13_ncr:1_{D8FF0A81-6AC6-494E-83CF-303BFEF8602C}" xr6:coauthVersionLast="47" xr6:coauthVersionMax="47" xr10:uidLastSave="{00000000-0000-0000-0000-000000000000}"/>
  <bookViews>
    <workbookView xWindow="0" yWindow="740" windowWidth="34560" windowHeight="21600" activeTab="1" xr2:uid="{00000000-000D-0000-FFFF-FFFF00000000}"/>
  </bookViews>
  <sheets>
    <sheet name="tab1" sheetId="1" r:id="rId1"/>
    <sheet name="tab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" l="1"/>
  <c r="D41" i="1"/>
  <c r="D30" i="1"/>
  <c r="D27" i="1"/>
</calcChain>
</file>

<file path=xl/sharedStrings.xml><?xml version="1.0" encoding="utf-8"?>
<sst xmlns="http://schemas.openxmlformats.org/spreadsheetml/2006/main" count="1110" uniqueCount="294">
  <si>
    <t>Variable</t>
  </si>
  <si>
    <t>N</t>
  </si>
  <si>
    <t>Mean</t>
  </si>
  <si>
    <t>Std..Dev.</t>
  </si>
  <si>
    <t>Min</t>
  </si>
  <si>
    <t>Pctl..25</t>
  </si>
  <si>
    <t>Pctl..50</t>
  </si>
  <si>
    <t>Pctl..75</t>
  </si>
  <si>
    <t>Max</t>
  </si>
  <si>
    <t>birth_preterm</t>
  </si>
  <si>
    <t>957734</t>
  </si>
  <si>
    <t>... 0</t>
  </si>
  <si>
    <t>900140</t>
  </si>
  <si>
    <t>94%</t>
  </si>
  <si>
    <t>... 1</t>
  </si>
  <si>
    <t>57594</t>
  </si>
  <si>
    <t>6%</t>
  </si>
  <si>
    <t>birth_very_preterm</t>
  </si>
  <si>
    <t>952108</t>
  </si>
  <si>
    <t>99%</t>
  </si>
  <si>
    <t>5626</t>
  </si>
  <si>
    <t>0.6%</t>
  </si>
  <si>
    <t>birth_moderately_preterm</t>
  </si>
  <si>
    <t>954706</t>
  </si>
  <si>
    <t>100%</t>
  </si>
  <si>
    <t>3028</t>
  </si>
  <si>
    <t>0.3%</t>
  </si>
  <si>
    <t>birth_late_preterm</t>
  </si>
  <si>
    <t>912737</t>
  </si>
  <si>
    <t>95%</t>
  </si>
  <si>
    <t>44997</t>
  </si>
  <si>
    <t>5%</t>
  </si>
  <si>
    <t>birth_term</t>
  </si>
  <si>
    <t>61709</t>
  </si>
  <si>
    <t>896025</t>
  </si>
  <si>
    <t>tbw</t>
  </si>
  <si>
    <t>3343.7</t>
  </si>
  <si>
    <t>502.3</t>
  </si>
  <si>
    <t>440.0</t>
  </si>
  <si>
    <t>3060.0</t>
  </si>
  <si>
    <t>3360.0</t>
  </si>
  <si>
    <t>3660.0</t>
  </si>
  <si>
    <t>5870.0</t>
  </si>
  <si>
    <t>weeks</t>
  </si>
  <si>
    <t>38.7</t>
  </si>
  <si>
    <t>1.6</t>
  </si>
  <si>
    <t>28.0</t>
  </si>
  <si>
    <t>38.0</t>
  </si>
  <si>
    <t>39.0</t>
  </si>
  <si>
    <t>40.0</t>
  </si>
  <si>
    <t>44.0</t>
  </si>
  <si>
    <t>sex</t>
  </si>
  <si>
    <t>... Boy</t>
  </si>
  <si>
    <t>490747</t>
  </si>
  <si>
    <t>51%</t>
  </si>
  <si>
    <t>... Girl</t>
  </si>
  <si>
    <t>466987</t>
  </si>
  <si>
    <t>49%</t>
  </si>
  <si>
    <t>age_group_mom</t>
  </si>
  <si>
    <t>... &lt;=20</t>
  </si>
  <si>
    <t>148954</t>
  </si>
  <si>
    <t>16%</t>
  </si>
  <si>
    <t>... 20-29</t>
  </si>
  <si>
    <t>418561</t>
  </si>
  <si>
    <t>44%</t>
  </si>
  <si>
    <t>... 30-39</t>
  </si>
  <si>
    <t>356116</t>
  </si>
  <si>
    <t>37%</t>
  </si>
  <si>
    <t>... 40-49</t>
  </si>
  <si>
    <t>34092</t>
  </si>
  <si>
    <t>4%</t>
  </si>
  <si>
    <t>... &gt;=50</t>
  </si>
  <si>
    <t>11</t>
  </si>
  <si>
    <t>0.001%</t>
  </si>
  <si>
    <t>educ_group_mom</t>
  </si>
  <si>
    <t>... Non education</t>
  </si>
  <si>
    <t>1583</t>
  </si>
  <si>
    <t>0.2%</t>
  </si>
  <si>
    <t>... Primary</t>
  </si>
  <si>
    <t>132847</t>
  </si>
  <si>
    <t>14%</t>
  </si>
  <si>
    <t>... Secondary</t>
  </si>
  <si>
    <t>551365</t>
  </si>
  <si>
    <t>58%</t>
  </si>
  <si>
    <t>... College</t>
  </si>
  <si>
    <t>271939</t>
  </si>
  <si>
    <t>28%</t>
  </si>
  <si>
    <t>job_group_mom</t>
  </si>
  <si>
    <t>... Not working</t>
  </si>
  <si>
    <t>560861</t>
  </si>
  <si>
    <t>59%</t>
  </si>
  <si>
    <t>... Employed</t>
  </si>
  <si>
    <t>396873</t>
  </si>
  <si>
    <t>41%</t>
  </si>
  <si>
    <t>age_group_dad</t>
  </si>
  <si>
    <t>64959</t>
  </si>
  <si>
    <t>7%</t>
  </si>
  <si>
    <t>366952</t>
  </si>
  <si>
    <t>38%</t>
  </si>
  <si>
    <t>379955</t>
  </si>
  <si>
    <t>40%</t>
  </si>
  <si>
    <t>89847</t>
  </si>
  <si>
    <t>9%</t>
  </si>
  <si>
    <t>11493</t>
  </si>
  <si>
    <t>1%</t>
  </si>
  <si>
    <t>... Unknown</t>
  </si>
  <si>
    <t>44528</t>
  </si>
  <si>
    <t>educ_group_dad</t>
  </si>
  <si>
    <t>1192</t>
  </si>
  <si>
    <t>0.1%</t>
  </si>
  <si>
    <t>99336</t>
  </si>
  <si>
    <t>10%</t>
  </si>
  <si>
    <t>478127</t>
  </si>
  <si>
    <t>50%</t>
  </si>
  <si>
    <t>290143</t>
  </si>
  <si>
    <t>30%</t>
  </si>
  <si>
    <t>88936</t>
  </si>
  <si>
    <t>job_group_dad</t>
  </si>
  <si>
    <t>109276</t>
  </si>
  <si>
    <t>11%</t>
  </si>
  <si>
    <t>798241</t>
  </si>
  <si>
    <t>83%</t>
  </si>
  <si>
    <t>50217</t>
  </si>
  <si>
    <t>year_nac</t>
  </si>
  <si>
    <t>2005.1</t>
  </si>
  <si>
    <t>8.2</t>
  </si>
  <si>
    <t>1992.0</t>
  </si>
  <si>
    <t>1998.0</t>
  </si>
  <si>
    <t>2005.0</t>
  </si>
  <si>
    <t>2012.0</t>
  </si>
  <si>
    <t>2020.0</t>
  </si>
  <si>
    <t>month_nac</t>
  </si>
  <si>
    <t>5.7</t>
  </si>
  <si>
    <t>4.7</t>
  </si>
  <si>
    <t>1.0</t>
  </si>
  <si>
    <t>2.0</t>
  </si>
  <si>
    <t>3.0</t>
  </si>
  <si>
    <t>11.0</t>
  </si>
  <si>
    <t>12.0</t>
  </si>
  <si>
    <t>sovi</t>
  </si>
  <si>
    <t>-8.9</t>
  </si>
  <si>
    <t>8.4</t>
  </si>
  <si>
    <t>-29.7</t>
  </si>
  <si>
    <t>-13.3</t>
  </si>
  <si>
    <t>-7.7</t>
  </si>
  <si>
    <t>-2.2</t>
  </si>
  <si>
    <t>4.6</t>
  </si>
  <si>
    <t>vulnerability</t>
  </si>
  <si>
    <t>... Low</t>
  </si>
  <si>
    <t>190214</t>
  </si>
  <si>
    <t>20%</t>
  </si>
  <si>
    <t>... Medium-low</t>
  </si>
  <si>
    <t>616570</t>
  </si>
  <si>
    <t>64%</t>
  </si>
  <si>
    <t>... Medium-high</t>
  </si>
  <si>
    <t>150950</t>
  </si>
  <si>
    <t>... Alta</t>
  </si>
  <si>
    <t>0</t>
  </si>
  <si>
    <t>0%</t>
  </si>
  <si>
    <t>HW_30C_2d_bin</t>
  </si>
  <si>
    <t>0.6</t>
  </si>
  <si>
    <t>0.5</t>
  </si>
  <si>
    <t>0.0</t>
  </si>
  <si>
    <t>1</t>
  </si>
  <si>
    <t>HW_p90_2d_bin</t>
  </si>
  <si>
    <t>HW_p95_2d_bin</t>
  </si>
  <si>
    <t>0.4</t>
  </si>
  <si>
    <t>HW_p99_2d_bin</t>
  </si>
  <si>
    <t>0.1</t>
  </si>
  <si>
    <t>0.3</t>
  </si>
  <si>
    <t>HW_30C_2d_count</t>
  </si>
  <si>
    <t>2.2</t>
  </si>
  <si>
    <t>7</t>
  </si>
  <si>
    <t>HW_p90_2d_count</t>
  </si>
  <si>
    <t>1.7</t>
  </si>
  <si>
    <t>1.9</t>
  </si>
  <si>
    <t>HW_p95_2d_count</t>
  </si>
  <si>
    <t>0.9</t>
  </si>
  <si>
    <t>1.3</t>
  </si>
  <si>
    <t>HW_p99_2d_count</t>
  </si>
  <si>
    <t>0.2</t>
  </si>
  <si>
    <t>5</t>
  </si>
  <si>
    <t>HW_30C_3d_bin</t>
  </si>
  <si>
    <t>HW_p90_3d_bin</t>
  </si>
  <si>
    <t>HW_p95_3d_bin</t>
  </si>
  <si>
    <t>HW_p99_3d_bin</t>
  </si>
  <si>
    <t>HW_30C_3d_count</t>
  </si>
  <si>
    <t>2.1</t>
  </si>
  <si>
    <t>HW_p90_3d_count</t>
  </si>
  <si>
    <t>1.8</t>
  </si>
  <si>
    <t>HW_p95_3d_count</t>
  </si>
  <si>
    <t>0.8</t>
  </si>
  <si>
    <t>HW_p99_3d_count</t>
  </si>
  <si>
    <t>HW_30C_4d_bin</t>
  </si>
  <si>
    <t>HW_p90_4d_bin</t>
  </si>
  <si>
    <t>HW_p95_4d_bin</t>
  </si>
  <si>
    <t>HW_p99_4d_bin</t>
  </si>
  <si>
    <t>HW_30C_4d_count</t>
  </si>
  <si>
    <t>HW_p90_4d_count</t>
  </si>
  <si>
    <t>HW_p95_4d_count</t>
  </si>
  <si>
    <t>HW_p99_4d_count</t>
  </si>
  <si>
    <t>HW_EHF_TAD_2d_bin</t>
  </si>
  <si>
    <t>HW_EHF_TAD_3d_bin</t>
  </si>
  <si>
    <t>HW_EHF_TAD_4d_bin</t>
  </si>
  <si>
    <t>HW_EHF_TAD_2d_count</t>
  </si>
  <si>
    <t>1.1</t>
  </si>
  <si>
    <t>7.0</t>
  </si>
  <si>
    <t>HW_EHF_TAD_3d_count</t>
  </si>
  <si>
    <t>1.2</t>
  </si>
  <si>
    <t>HW_EHF_TAD_4d_count</t>
  </si>
  <si>
    <t>HW_EHF_TAD_sev_first</t>
  </si>
  <si>
    <t>... Non-HW</t>
  </si>
  <si>
    <t>793553</t>
  </si>
  <si>
    <t>142109</t>
  </si>
  <si>
    <t>15%</t>
  </si>
  <si>
    <t>... Severe</t>
  </si>
  <si>
    <t>21886</t>
  </si>
  <si>
    <t>2%</t>
  </si>
  <si>
    <t>... Extreme</t>
  </si>
  <si>
    <t>186</t>
  </si>
  <si>
    <t>0.02%</t>
  </si>
  <si>
    <t>HW_EHF_TMAX_2d_bin</t>
  </si>
  <si>
    <t>HW_EHF_TMAX_3d_bin</t>
  </si>
  <si>
    <t>HW_EHF_TMAX_4d_bin</t>
  </si>
  <si>
    <t>HW_EHF_TMAX_2d_count</t>
  </si>
  <si>
    <t>HW_EHF_TMAX_3d_count</t>
  </si>
  <si>
    <t>HW_EHF_TMAX_4d_count</t>
  </si>
  <si>
    <t>HW_EHF_TMAX_sev_first</t>
  </si>
  <si>
    <t>776845</t>
  </si>
  <si>
    <t>81%</t>
  </si>
  <si>
    <t>112485</t>
  </si>
  <si>
    <t>12%</t>
  </si>
  <si>
    <t>56786</t>
  </si>
  <si>
    <t>11618</t>
  </si>
  <si>
    <t>828366</t>
  </si>
  <si>
    <t>778417</t>
  </si>
  <si>
    <t>49949</t>
  </si>
  <si>
    <t>823542</t>
  </si>
  <si>
    <t>4824</t>
  </si>
  <si>
    <t>825732</t>
  </si>
  <si>
    <t>2634</t>
  </si>
  <si>
    <t>789305</t>
  </si>
  <si>
    <t>39061</t>
  </si>
  <si>
    <t>53454</t>
  </si>
  <si>
    <t>774912</t>
  </si>
  <si>
    <t>3342.7</t>
  </si>
  <si>
    <t>502.0</t>
  </si>
  <si>
    <t>424372</t>
  </si>
  <si>
    <t>403994</t>
  </si>
  <si>
    <t>128327</t>
  </si>
  <si>
    <t>362009</t>
  </si>
  <si>
    <t>308289</t>
  </si>
  <si>
    <t>29731</t>
  </si>
  <si>
    <t>10</t>
  </si>
  <si>
    <t>1394</t>
  </si>
  <si>
    <t>115038</t>
  </si>
  <si>
    <t>477232</t>
  </si>
  <si>
    <t>234702</t>
  </si>
  <si>
    <t>485195</t>
  </si>
  <si>
    <t>343171</t>
  </si>
  <si>
    <t>56056</t>
  </si>
  <si>
    <t>317123</t>
  </si>
  <si>
    <t>328724</t>
  </si>
  <si>
    <t>77977</t>
  </si>
  <si>
    <t>9976</t>
  </si>
  <si>
    <t>38510</t>
  </si>
  <si>
    <t>1025</t>
  </si>
  <si>
    <t>86312</t>
  </si>
  <si>
    <t>414266</t>
  </si>
  <si>
    <t>250355</t>
  </si>
  <si>
    <t>76408</t>
  </si>
  <si>
    <t>94205</t>
  </si>
  <si>
    <t>690803</t>
  </si>
  <si>
    <t>43358</t>
  </si>
  <si>
    <t>2005.2</t>
  </si>
  <si>
    <t>4.9</t>
  </si>
  <si>
    <t>4.5</t>
  </si>
  <si>
    <t>163745</t>
  </si>
  <si>
    <t>534046</t>
  </si>
  <si>
    <t>130575</t>
  </si>
  <si>
    <t>0.7</t>
  </si>
  <si>
    <t>2.3</t>
  </si>
  <si>
    <t>4.0</t>
  </si>
  <si>
    <t>1.4</t>
  </si>
  <si>
    <t>672880</t>
  </si>
  <si>
    <t>134760</t>
  </si>
  <si>
    <t>20557</t>
  </si>
  <si>
    <t>169</t>
  </si>
  <si>
    <t>661801</t>
  </si>
  <si>
    <t>80%</t>
  </si>
  <si>
    <t>103918</t>
  </si>
  <si>
    <t>13%</t>
  </si>
  <si>
    <t>52334</t>
  </si>
  <si>
    <t>10313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</si>
</sst>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"/>
  <sheetViews>
    <sheetView topLeftCell="A26" workbookViewId="0">
      <selection activeCell="B57" sqref="B57:C59"/>
    </sheetView>
  </sheetViews>
  <sheetFormatPr baseColWidth="10" defaultColWidth="8.83203125" defaultRowHeight="15" x14ac:dyDescent="0.2"/>
  <cols>
    <col min="1" max="1" width="21.83203125" bestFit="1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</row>
    <row r="3" spans="1:9" x14ac:dyDescent="0.2">
      <c r="A3" t="s">
        <v>11</v>
      </c>
      <c r="B3" t="s">
        <v>12</v>
      </c>
      <c r="C3" t="s">
        <v>13</v>
      </c>
    </row>
    <row r="4" spans="1:9" x14ac:dyDescent="0.2">
      <c r="A4" t="s">
        <v>14</v>
      </c>
      <c r="B4" t="s">
        <v>15</v>
      </c>
      <c r="C4" t="s">
        <v>16</v>
      </c>
    </row>
    <row r="5" spans="1:9" x14ac:dyDescent="0.2">
      <c r="A5" t="s">
        <v>17</v>
      </c>
      <c r="B5" t="s">
        <v>10</v>
      </c>
    </row>
    <row r="6" spans="1:9" x14ac:dyDescent="0.2">
      <c r="A6" t="s">
        <v>11</v>
      </c>
      <c r="B6" t="s">
        <v>18</v>
      </c>
      <c r="C6" t="s">
        <v>19</v>
      </c>
    </row>
    <row r="7" spans="1:9" x14ac:dyDescent="0.2">
      <c r="A7" t="s">
        <v>14</v>
      </c>
      <c r="B7" t="s">
        <v>20</v>
      </c>
      <c r="C7" t="s">
        <v>21</v>
      </c>
    </row>
    <row r="8" spans="1:9" x14ac:dyDescent="0.2">
      <c r="A8" t="s">
        <v>22</v>
      </c>
      <c r="B8" t="s">
        <v>10</v>
      </c>
    </row>
    <row r="9" spans="1:9" x14ac:dyDescent="0.2">
      <c r="A9" t="s">
        <v>11</v>
      </c>
      <c r="B9" t="s">
        <v>23</v>
      </c>
      <c r="C9" t="s">
        <v>24</v>
      </c>
    </row>
    <row r="10" spans="1:9" x14ac:dyDescent="0.2">
      <c r="A10" t="s">
        <v>14</v>
      </c>
      <c r="B10" t="s">
        <v>25</v>
      </c>
      <c r="C10" t="s">
        <v>26</v>
      </c>
    </row>
    <row r="11" spans="1:9" x14ac:dyDescent="0.2">
      <c r="A11" t="s">
        <v>27</v>
      </c>
      <c r="B11" t="s">
        <v>10</v>
      </c>
    </row>
    <row r="12" spans="1:9" x14ac:dyDescent="0.2">
      <c r="A12" t="s">
        <v>11</v>
      </c>
      <c r="B12" t="s">
        <v>28</v>
      </c>
      <c r="C12" t="s">
        <v>29</v>
      </c>
    </row>
    <row r="13" spans="1:9" x14ac:dyDescent="0.2">
      <c r="A13" t="s">
        <v>14</v>
      </c>
      <c r="B13" t="s">
        <v>30</v>
      </c>
      <c r="C13" t="s">
        <v>31</v>
      </c>
    </row>
    <row r="14" spans="1:9" x14ac:dyDescent="0.2">
      <c r="A14" t="s">
        <v>32</v>
      </c>
      <c r="B14" t="s">
        <v>10</v>
      </c>
    </row>
    <row r="15" spans="1:9" x14ac:dyDescent="0.2">
      <c r="A15" t="s">
        <v>11</v>
      </c>
      <c r="B15" t="s">
        <v>33</v>
      </c>
      <c r="C15" t="s">
        <v>16</v>
      </c>
    </row>
    <row r="16" spans="1:9" x14ac:dyDescent="0.2">
      <c r="A16" t="s">
        <v>14</v>
      </c>
      <c r="B16" t="s">
        <v>34</v>
      </c>
      <c r="C16" t="s">
        <v>13</v>
      </c>
    </row>
    <row r="17" spans="1:9" x14ac:dyDescent="0.2">
      <c r="A17" t="s">
        <v>35</v>
      </c>
      <c r="B17" t="s">
        <v>10</v>
      </c>
      <c r="C17" t="s">
        <v>36</v>
      </c>
      <c r="D17" t="s">
        <v>37</v>
      </c>
      <c r="E17" t="s">
        <v>38</v>
      </c>
      <c r="F17" t="s">
        <v>39</v>
      </c>
      <c r="G17" t="s">
        <v>40</v>
      </c>
      <c r="H17" t="s">
        <v>41</v>
      </c>
      <c r="I17" t="s">
        <v>42</v>
      </c>
    </row>
    <row r="18" spans="1:9" x14ac:dyDescent="0.2">
      <c r="A18" t="s">
        <v>43</v>
      </c>
      <c r="B18" t="s">
        <v>10</v>
      </c>
      <c r="C18" t="s">
        <v>44</v>
      </c>
      <c r="D18" t="s">
        <v>45</v>
      </c>
      <c r="E18" t="s">
        <v>46</v>
      </c>
      <c r="F18" t="s">
        <v>47</v>
      </c>
      <c r="G18" t="s">
        <v>48</v>
      </c>
      <c r="H18" t="s">
        <v>49</v>
      </c>
      <c r="I18" t="s">
        <v>50</v>
      </c>
    </row>
    <row r="19" spans="1:9" x14ac:dyDescent="0.2">
      <c r="A19" t="s">
        <v>51</v>
      </c>
      <c r="B19" t="s">
        <v>10</v>
      </c>
    </row>
    <row r="20" spans="1:9" x14ac:dyDescent="0.2">
      <c r="A20" t="s">
        <v>52</v>
      </c>
      <c r="B20" t="s">
        <v>53</v>
      </c>
      <c r="C20" t="s">
        <v>54</v>
      </c>
    </row>
    <row r="21" spans="1:9" x14ac:dyDescent="0.2">
      <c r="A21" t="s">
        <v>55</v>
      </c>
      <c r="B21" t="s">
        <v>56</v>
      </c>
      <c r="C21" t="s">
        <v>57</v>
      </c>
    </row>
    <row r="22" spans="1:9" x14ac:dyDescent="0.2">
      <c r="A22" t="s">
        <v>58</v>
      </c>
      <c r="B22" t="s">
        <v>10</v>
      </c>
    </row>
    <row r="23" spans="1:9" x14ac:dyDescent="0.2">
      <c r="A23" t="s">
        <v>59</v>
      </c>
      <c r="B23" t="s">
        <v>60</v>
      </c>
      <c r="C23" t="s">
        <v>61</v>
      </c>
    </row>
    <row r="24" spans="1:9" x14ac:dyDescent="0.2">
      <c r="A24" t="s">
        <v>62</v>
      </c>
      <c r="B24" t="s">
        <v>63</v>
      </c>
      <c r="C24" t="s">
        <v>64</v>
      </c>
    </row>
    <row r="25" spans="1:9" x14ac:dyDescent="0.2">
      <c r="A25" t="s">
        <v>65</v>
      </c>
      <c r="B25" t="s">
        <v>66</v>
      </c>
      <c r="C25" t="s">
        <v>67</v>
      </c>
    </row>
    <row r="26" spans="1:9" x14ac:dyDescent="0.2">
      <c r="A26" t="s">
        <v>68</v>
      </c>
      <c r="B26" s="2" t="s">
        <v>69</v>
      </c>
      <c r="C26" t="s">
        <v>70</v>
      </c>
    </row>
    <row r="27" spans="1:9" x14ac:dyDescent="0.2">
      <c r="A27" t="s">
        <v>71</v>
      </c>
      <c r="B27" s="2" t="s">
        <v>72</v>
      </c>
      <c r="C27" t="s">
        <v>73</v>
      </c>
      <c r="D27">
        <f>34092+11</f>
        <v>34103</v>
      </c>
    </row>
    <row r="28" spans="1:9" x14ac:dyDescent="0.2">
      <c r="A28" t="s">
        <v>74</v>
      </c>
      <c r="B28" t="s">
        <v>10</v>
      </c>
    </row>
    <row r="29" spans="1:9" x14ac:dyDescent="0.2">
      <c r="A29" t="s">
        <v>75</v>
      </c>
      <c r="B29" t="s">
        <v>76</v>
      </c>
      <c r="C29" t="s">
        <v>77</v>
      </c>
    </row>
    <row r="30" spans="1:9" x14ac:dyDescent="0.2">
      <c r="A30" t="s">
        <v>78</v>
      </c>
      <c r="B30" t="s">
        <v>79</v>
      </c>
      <c r="C30" t="s">
        <v>80</v>
      </c>
      <c r="D30">
        <f>1583+132847</f>
        <v>134430</v>
      </c>
    </row>
    <row r="31" spans="1:9" x14ac:dyDescent="0.2">
      <c r="A31" t="s">
        <v>81</v>
      </c>
      <c r="B31" t="s">
        <v>82</v>
      </c>
      <c r="C31" t="s">
        <v>83</v>
      </c>
    </row>
    <row r="32" spans="1:9" x14ac:dyDescent="0.2">
      <c r="A32" t="s">
        <v>84</v>
      </c>
      <c r="B32" t="s">
        <v>85</v>
      </c>
      <c r="C32" t="s">
        <v>86</v>
      </c>
    </row>
    <row r="33" spans="1:4" x14ac:dyDescent="0.2">
      <c r="A33" t="s">
        <v>87</v>
      </c>
      <c r="B33" t="s">
        <v>10</v>
      </c>
    </row>
    <row r="34" spans="1:4" x14ac:dyDescent="0.2">
      <c r="A34" t="s">
        <v>88</v>
      </c>
      <c r="B34" t="s">
        <v>89</v>
      </c>
      <c r="C34" t="s">
        <v>90</v>
      </c>
    </row>
    <row r="35" spans="1:4" x14ac:dyDescent="0.2">
      <c r="A35" t="s">
        <v>91</v>
      </c>
      <c r="B35" t="s">
        <v>92</v>
      </c>
      <c r="C35" t="s">
        <v>93</v>
      </c>
    </row>
    <row r="36" spans="1:4" x14ac:dyDescent="0.2">
      <c r="A36" t="s">
        <v>94</v>
      </c>
      <c r="B36" t="s">
        <v>10</v>
      </c>
    </row>
    <row r="37" spans="1:4" x14ac:dyDescent="0.2">
      <c r="A37" t="s">
        <v>59</v>
      </c>
      <c r="B37" t="s">
        <v>95</v>
      </c>
      <c r="C37" t="s">
        <v>96</v>
      </c>
    </row>
    <row r="38" spans="1:4" x14ac:dyDescent="0.2">
      <c r="A38" t="s">
        <v>62</v>
      </c>
      <c r="B38" t="s">
        <v>97</v>
      </c>
      <c r="C38" t="s">
        <v>98</v>
      </c>
    </row>
    <row r="39" spans="1:4" x14ac:dyDescent="0.2">
      <c r="A39" t="s">
        <v>65</v>
      </c>
      <c r="B39" t="s">
        <v>99</v>
      </c>
      <c r="C39" t="s">
        <v>100</v>
      </c>
    </row>
    <row r="40" spans="1:4" x14ac:dyDescent="0.2">
      <c r="A40" t="s">
        <v>68</v>
      </c>
      <c r="B40" t="s">
        <v>101</v>
      </c>
      <c r="C40" t="s">
        <v>102</v>
      </c>
    </row>
    <row r="41" spans="1:4" x14ac:dyDescent="0.2">
      <c r="A41" t="s">
        <v>71</v>
      </c>
      <c r="B41" t="s">
        <v>103</v>
      </c>
      <c r="C41" t="s">
        <v>104</v>
      </c>
      <c r="D41">
        <f>89847 + 11493</f>
        <v>101340</v>
      </c>
    </row>
    <row r="42" spans="1:4" x14ac:dyDescent="0.2">
      <c r="A42" t="s">
        <v>105</v>
      </c>
      <c r="B42" t="s">
        <v>106</v>
      </c>
      <c r="C42" t="s">
        <v>31</v>
      </c>
    </row>
    <row r="43" spans="1:4" x14ac:dyDescent="0.2">
      <c r="A43" t="s">
        <v>107</v>
      </c>
      <c r="B43" t="s">
        <v>10</v>
      </c>
    </row>
    <row r="44" spans="1:4" x14ac:dyDescent="0.2">
      <c r="A44" t="s">
        <v>75</v>
      </c>
      <c r="B44" t="s">
        <v>108</v>
      </c>
      <c r="C44" t="s">
        <v>109</v>
      </c>
    </row>
    <row r="45" spans="1:4" x14ac:dyDescent="0.2">
      <c r="A45" t="s">
        <v>78</v>
      </c>
      <c r="B45" t="s">
        <v>110</v>
      </c>
      <c r="C45" t="s">
        <v>111</v>
      </c>
      <c r="D45">
        <f>99336+1192</f>
        <v>100528</v>
      </c>
    </row>
    <row r="46" spans="1:4" x14ac:dyDescent="0.2">
      <c r="A46" t="s">
        <v>81</v>
      </c>
      <c r="B46" t="s">
        <v>112</v>
      </c>
      <c r="C46" t="s">
        <v>113</v>
      </c>
    </row>
    <row r="47" spans="1:4" x14ac:dyDescent="0.2">
      <c r="A47" t="s">
        <v>84</v>
      </c>
      <c r="B47" t="s">
        <v>114</v>
      </c>
      <c r="C47" t="s">
        <v>115</v>
      </c>
    </row>
    <row r="48" spans="1:4" x14ac:dyDescent="0.2">
      <c r="A48" t="s">
        <v>105</v>
      </c>
      <c r="B48" t="s">
        <v>116</v>
      </c>
      <c r="C48" t="s">
        <v>102</v>
      </c>
    </row>
    <row r="49" spans="1:9" x14ac:dyDescent="0.2">
      <c r="A49" t="s">
        <v>117</v>
      </c>
      <c r="B49" t="s">
        <v>10</v>
      </c>
    </row>
    <row r="50" spans="1:9" x14ac:dyDescent="0.2">
      <c r="A50" t="s">
        <v>88</v>
      </c>
      <c r="B50" t="s">
        <v>118</v>
      </c>
      <c r="C50" t="s">
        <v>119</v>
      </c>
    </row>
    <row r="51" spans="1:9" x14ac:dyDescent="0.2">
      <c r="A51" t="s">
        <v>91</v>
      </c>
      <c r="B51" t="s">
        <v>120</v>
      </c>
      <c r="C51" t="s">
        <v>121</v>
      </c>
    </row>
    <row r="52" spans="1:9" x14ac:dyDescent="0.2">
      <c r="A52" t="s">
        <v>105</v>
      </c>
      <c r="B52" t="s">
        <v>122</v>
      </c>
      <c r="C52" t="s">
        <v>31</v>
      </c>
    </row>
    <row r="53" spans="1:9" x14ac:dyDescent="0.2">
      <c r="A53" t="s">
        <v>123</v>
      </c>
      <c r="B53" t="s">
        <v>10</v>
      </c>
      <c r="C53" t="s">
        <v>124</v>
      </c>
      <c r="D53" t="s">
        <v>125</v>
      </c>
      <c r="E53" t="s">
        <v>126</v>
      </c>
      <c r="F53" t="s">
        <v>127</v>
      </c>
      <c r="G53" t="s">
        <v>128</v>
      </c>
      <c r="H53" t="s">
        <v>129</v>
      </c>
      <c r="I53" t="s">
        <v>130</v>
      </c>
    </row>
    <row r="54" spans="1:9" x14ac:dyDescent="0.2">
      <c r="A54" t="s">
        <v>131</v>
      </c>
      <c r="B54" t="s">
        <v>10</v>
      </c>
      <c r="C54" t="s">
        <v>132</v>
      </c>
      <c r="D54" t="s">
        <v>133</v>
      </c>
      <c r="E54" t="s">
        <v>134</v>
      </c>
      <c r="F54" t="s">
        <v>135</v>
      </c>
      <c r="G54" t="s">
        <v>136</v>
      </c>
      <c r="H54" t="s">
        <v>137</v>
      </c>
      <c r="I54" t="s">
        <v>138</v>
      </c>
    </row>
    <row r="55" spans="1:9" x14ac:dyDescent="0.2">
      <c r="A55" t="s">
        <v>139</v>
      </c>
      <c r="B55" t="s">
        <v>10</v>
      </c>
      <c r="C55" t="s">
        <v>140</v>
      </c>
      <c r="D55" t="s">
        <v>141</v>
      </c>
      <c r="E55" t="s">
        <v>142</v>
      </c>
      <c r="F55" t="s">
        <v>143</v>
      </c>
      <c r="G55" t="s">
        <v>144</v>
      </c>
      <c r="H55" t="s">
        <v>145</v>
      </c>
      <c r="I55" t="s">
        <v>146</v>
      </c>
    </row>
    <row r="56" spans="1:9" x14ac:dyDescent="0.2">
      <c r="A56" t="s">
        <v>147</v>
      </c>
      <c r="B56" t="s">
        <v>10</v>
      </c>
    </row>
    <row r="57" spans="1:9" x14ac:dyDescent="0.2">
      <c r="A57" t="s">
        <v>148</v>
      </c>
      <c r="B57" t="s">
        <v>149</v>
      </c>
      <c r="C57" t="s">
        <v>150</v>
      </c>
    </row>
    <row r="58" spans="1:9" x14ac:dyDescent="0.2">
      <c r="A58" t="s">
        <v>151</v>
      </c>
      <c r="B58" t="s">
        <v>152</v>
      </c>
      <c r="C58" t="s">
        <v>153</v>
      </c>
    </row>
    <row r="59" spans="1:9" x14ac:dyDescent="0.2">
      <c r="A59" t="s">
        <v>154</v>
      </c>
      <c r="B59" t="s">
        <v>155</v>
      </c>
      <c r="C59" t="s">
        <v>61</v>
      </c>
    </row>
    <row r="60" spans="1:9" x14ac:dyDescent="0.2">
      <c r="A60" t="s">
        <v>156</v>
      </c>
      <c r="B60" t="s">
        <v>157</v>
      </c>
      <c r="C60" t="s">
        <v>158</v>
      </c>
    </row>
    <row r="61" spans="1:9" x14ac:dyDescent="0.2">
      <c r="A61" t="s">
        <v>159</v>
      </c>
      <c r="B61" t="s">
        <v>10</v>
      </c>
      <c r="C61" t="s">
        <v>160</v>
      </c>
      <c r="D61" t="s">
        <v>161</v>
      </c>
      <c r="E61" t="s">
        <v>157</v>
      </c>
      <c r="F61" t="s">
        <v>162</v>
      </c>
      <c r="G61" t="s">
        <v>134</v>
      </c>
      <c r="H61" t="s">
        <v>134</v>
      </c>
      <c r="I61" t="s">
        <v>163</v>
      </c>
    </row>
    <row r="62" spans="1:9" x14ac:dyDescent="0.2">
      <c r="A62" t="s">
        <v>164</v>
      </c>
      <c r="B62" t="s">
        <v>10</v>
      </c>
      <c r="C62" t="s">
        <v>160</v>
      </c>
      <c r="D62" t="s">
        <v>161</v>
      </c>
      <c r="E62" t="s">
        <v>157</v>
      </c>
      <c r="F62" t="s">
        <v>162</v>
      </c>
      <c r="G62" t="s">
        <v>134</v>
      </c>
      <c r="H62" t="s">
        <v>134</v>
      </c>
      <c r="I62" t="s">
        <v>163</v>
      </c>
    </row>
    <row r="63" spans="1:9" x14ac:dyDescent="0.2">
      <c r="A63" t="s">
        <v>165</v>
      </c>
      <c r="B63" t="s">
        <v>10</v>
      </c>
      <c r="C63" t="s">
        <v>166</v>
      </c>
      <c r="D63" t="s">
        <v>161</v>
      </c>
      <c r="E63" t="s">
        <v>157</v>
      </c>
      <c r="F63" t="s">
        <v>162</v>
      </c>
      <c r="G63" t="s">
        <v>162</v>
      </c>
      <c r="H63" t="s">
        <v>134</v>
      </c>
      <c r="I63" t="s">
        <v>163</v>
      </c>
    </row>
    <row r="64" spans="1:9" x14ac:dyDescent="0.2">
      <c r="A64" t="s">
        <v>167</v>
      </c>
      <c r="B64" t="s">
        <v>10</v>
      </c>
      <c r="C64" t="s">
        <v>168</v>
      </c>
      <c r="D64" t="s">
        <v>169</v>
      </c>
      <c r="E64" t="s">
        <v>157</v>
      </c>
      <c r="F64" t="s">
        <v>162</v>
      </c>
      <c r="G64" t="s">
        <v>162</v>
      </c>
      <c r="H64" t="s">
        <v>162</v>
      </c>
      <c r="I64" t="s">
        <v>163</v>
      </c>
    </row>
    <row r="65" spans="1:9" x14ac:dyDescent="0.2">
      <c r="A65" t="s">
        <v>170</v>
      </c>
      <c r="B65" t="s">
        <v>10</v>
      </c>
      <c r="C65" t="s">
        <v>135</v>
      </c>
      <c r="D65" t="s">
        <v>171</v>
      </c>
      <c r="E65" t="s">
        <v>157</v>
      </c>
      <c r="F65" t="s">
        <v>162</v>
      </c>
      <c r="G65" t="s">
        <v>134</v>
      </c>
      <c r="H65" t="s">
        <v>136</v>
      </c>
      <c r="I65" t="s">
        <v>172</v>
      </c>
    </row>
    <row r="66" spans="1:9" x14ac:dyDescent="0.2">
      <c r="A66" t="s">
        <v>173</v>
      </c>
      <c r="B66" t="s">
        <v>10</v>
      </c>
      <c r="C66" t="s">
        <v>174</v>
      </c>
      <c r="D66" t="s">
        <v>175</v>
      </c>
      <c r="E66" t="s">
        <v>157</v>
      </c>
      <c r="F66" t="s">
        <v>162</v>
      </c>
      <c r="G66" t="s">
        <v>134</v>
      </c>
      <c r="H66" t="s">
        <v>136</v>
      </c>
      <c r="I66" t="s">
        <v>172</v>
      </c>
    </row>
    <row r="67" spans="1:9" x14ac:dyDescent="0.2">
      <c r="A67" t="s">
        <v>176</v>
      </c>
      <c r="B67" t="s">
        <v>10</v>
      </c>
      <c r="C67" t="s">
        <v>177</v>
      </c>
      <c r="D67" t="s">
        <v>178</v>
      </c>
      <c r="E67" t="s">
        <v>157</v>
      </c>
      <c r="F67" t="s">
        <v>162</v>
      </c>
      <c r="G67" t="s">
        <v>162</v>
      </c>
      <c r="H67" t="s">
        <v>134</v>
      </c>
      <c r="I67" t="s">
        <v>172</v>
      </c>
    </row>
    <row r="68" spans="1:9" x14ac:dyDescent="0.2">
      <c r="A68" t="s">
        <v>179</v>
      </c>
      <c r="B68" t="s">
        <v>10</v>
      </c>
      <c r="C68" t="s">
        <v>180</v>
      </c>
      <c r="D68" t="s">
        <v>160</v>
      </c>
      <c r="E68" t="s">
        <v>157</v>
      </c>
      <c r="F68" t="s">
        <v>162</v>
      </c>
      <c r="G68" t="s">
        <v>162</v>
      </c>
      <c r="H68" t="s">
        <v>162</v>
      </c>
      <c r="I68" t="s">
        <v>181</v>
      </c>
    </row>
    <row r="69" spans="1:9" x14ac:dyDescent="0.2">
      <c r="A69" t="s">
        <v>182</v>
      </c>
      <c r="B69" t="s">
        <v>10</v>
      </c>
      <c r="C69" t="s">
        <v>161</v>
      </c>
      <c r="D69" t="s">
        <v>161</v>
      </c>
      <c r="E69" t="s">
        <v>157</v>
      </c>
      <c r="F69" t="s">
        <v>162</v>
      </c>
      <c r="G69" t="s">
        <v>134</v>
      </c>
      <c r="H69" t="s">
        <v>134</v>
      </c>
      <c r="I69" t="s">
        <v>163</v>
      </c>
    </row>
    <row r="70" spans="1:9" x14ac:dyDescent="0.2">
      <c r="A70" t="s">
        <v>183</v>
      </c>
      <c r="B70" t="s">
        <v>10</v>
      </c>
      <c r="C70" t="s">
        <v>160</v>
      </c>
      <c r="D70" t="s">
        <v>161</v>
      </c>
      <c r="E70" t="s">
        <v>157</v>
      </c>
      <c r="F70" t="s">
        <v>162</v>
      </c>
      <c r="G70" t="s">
        <v>134</v>
      </c>
      <c r="H70" t="s">
        <v>134</v>
      </c>
      <c r="I70" t="s">
        <v>163</v>
      </c>
    </row>
    <row r="71" spans="1:9" x14ac:dyDescent="0.2">
      <c r="A71" t="s">
        <v>184</v>
      </c>
      <c r="B71" t="s">
        <v>10</v>
      </c>
      <c r="C71" t="s">
        <v>166</v>
      </c>
      <c r="D71" t="s">
        <v>161</v>
      </c>
      <c r="E71" t="s">
        <v>157</v>
      </c>
      <c r="F71" t="s">
        <v>162</v>
      </c>
      <c r="G71" t="s">
        <v>162</v>
      </c>
      <c r="H71" t="s">
        <v>134</v>
      </c>
      <c r="I71" t="s">
        <v>163</v>
      </c>
    </row>
    <row r="72" spans="1:9" x14ac:dyDescent="0.2">
      <c r="A72" t="s">
        <v>185</v>
      </c>
      <c r="B72" t="s">
        <v>10</v>
      </c>
      <c r="C72" t="s">
        <v>168</v>
      </c>
      <c r="D72" t="s">
        <v>169</v>
      </c>
      <c r="E72" t="s">
        <v>157</v>
      </c>
      <c r="F72" t="s">
        <v>162</v>
      </c>
      <c r="G72" t="s">
        <v>162</v>
      </c>
      <c r="H72" t="s">
        <v>162</v>
      </c>
      <c r="I72" t="s">
        <v>163</v>
      </c>
    </row>
    <row r="73" spans="1:9" x14ac:dyDescent="0.2">
      <c r="A73" t="s">
        <v>186</v>
      </c>
      <c r="B73" t="s">
        <v>10</v>
      </c>
      <c r="C73" t="s">
        <v>45</v>
      </c>
      <c r="D73" t="s">
        <v>187</v>
      </c>
      <c r="E73" t="s">
        <v>157</v>
      </c>
      <c r="F73" t="s">
        <v>162</v>
      </c>
      <c r="G73" t="s">
        <v>134</v>
      </c>
      <c r="H73" t="s">
        <v>136</v>
      </c>
      <c r="I73" t="s">
        <v>172</v>
      </c>
    </row>
    <row r="74" spans="1:9" x14ac:dyDescent="0.2">
      <c r="A74" t="s">
        <v>188</v>
      </c>
      <c r="B74" t="s">
        <v>10</v>
      </c>
      <c r="C74" t="s">
        <v>45</v>
      </c>
      <c r="D74" t="s">
        <v>189</v>
      </c>
      <c r="E74" t="s">
        <v>157</v>
      </c>
      <c r="F74" t="s">
        <v>162</v>
      </c>
      <c r="G74" t="s">
        <v>134</v>
      </c>
      <c r="H74" t="s">
        <v>136</v>
      </c>
      <c r="I74" t="s">
        <v>172</v>
      </c>
    </row>
    <row r="75" spans="1:9" x14ac:dyDescent="0.2">
      <c r="A75" t="s">
        <v>190</v>
      </c>
      <c r="B75" t="s">
        <v>10</v>
      </c>
      <c r="C75" t="s">
        <v>191</v>
      </c>
      <c r="D75" t="s">
        <v>178</v>
      </c>
      <c r="E75" t="s">
        <v>157</v>
      </c>
      <c r="F75" t="s">
        <v>162</v>
      </c>
      <c r="G75" t="s">
        <v>162</v>
      </c>
      <c r="H75" t="s">
        <v>134</v>
      </c>
      <c r="I75" t="s">
        <v>172</v>
      </c>
    </row>
    <row r="76" spans="1:9" x14ac:dyDescent="0.2">
      <c r="A76" t="s">
        <v>192</v>
      </c>
      <c r="B76" t="s">
        <v>10</v>
      </c>
      <c r="C76" t="s">
        <v>180</v>
      </c>
      <c r="D76" t="s">
        <v>160</v>
      </c>
      <c r="E76" t="s">
        <v>157</v>
      </c>
      <c r="F76" t="s">
        <v>162</v>
      </c>
      <c r="G76" t="s">
        <v>162</v>
      </c>
      <c r="H76" t="s">
        <v>162</v>
      </c>
      <c r="I76" t="s">
        <v>181</v>
      </c>
    </row>
    <row r="77" spans="1:9" x14ac:dyDescent="0.2">
      <c r="A77" t="s">
        <v>193</v>
      </c>
      <c r="B77" t="s">
        <v>10</v>
      </c>
      <c r="C77" t="s">
        <v>166</v>
      </c>
      <c r="D77" t="s">
        <v>161</v>
      </c>
      <c r="E77" t="s">
        <v>157</v>
      </c>
      <c r="F77" t="s">
        <v>162</v>
      </c>
      <c r="G77" t="s">
        <v>162</v>
      </c>
      <c r="H77" t="s">
        <v>134</v>
      </c>
      <c r="I77" t="s">
        <v>163</v>
      </c>
    </row>
    <row r="78" spans="1:9" x14ac:dyDescent="0.2">
      <c r="A78" t="s">
        <v>194</v>
      </c>
      <c r="B78" t="s">
        <v>10</v>
      </c>
      <c r="C78" t="s">
        <v>160</v>
      </c>
      <c r="D78" t="s">
        <v>161</v>
      </c>
      <c r="E78" t="s">
        <v>157</v>
      </c>
      <c r="F78" t="s">
        <v>162</v>
      </c>
      <c r="G78" t="s">
        <v>134</v>
      </c>
      <c r="H78" t="s">
        <v>134</v>
      </c>
      <c r="I78" t="s">
        <v>163</v>
      </c>
    </row>
    <row r="79" spans="1:9" x14ac:dyDescent="0.2">
      <c r="A79" t="s">
        <v>195</v>
      </c>
      <c r="B79" t="s">
        <v>10</v>
      </c>
      <c r="C79" t="s">
        <v>166</v>
      </c>
      <c r="D79" t="s">
        <v>161</v>
      </c>
      <c r="E79" t="s">
        <v>157</v>
      </c>
      <c r="F79" t="s">
        <v>162</v>
      </c>
      <c r="G79" t="s">
        <v>162</v>
      </c>
      <c r="H79" t="s">
        <v>134</v>
      </c>
      <c r="I79" t="s">
        <v>163</v>
      </c>
    </row>
    <row r="80" spans="1:9" x14ac:dyDescent="0.2">
      <c r="A80" t="s">
        <v>196</v>
      </c>
      <c r="B80" t="s">
        <v>10</v>
      </c>
      <c r="C80" t="s">
        <v>168</v>
      </c>
      <c r="D80" t="s">
        <v>169</v>
      </c>
      <c r="E80" t="s">
        <v>157</v>
      </c>
      <c r="F80" t="s">
        <v>162</v>
      </c>
      <c r="G80" t="s">
        <v>162</v>
      </c>
      <c r="H80" t="s">
        <v>162</v>
      </c>
      <c r="I80" t="s">
        <v>163</v>
      </c>
    </row>
    <row r="81" spans="1:9" x14ac:dyDescent="0.2">
      <c r="A81" t="s">
        <v>197</v>
      </c>
      <c r="B81" t="s">
        <v>10</v>
      </c>
      <c r="C81" t="s">
        <v>178</v>
      </c>
      <c r="D81" t="s">
        <v>175</v>
      </c>
      <c r="E81" t="s">
        <v>157</v>
      </c>
      <c r="F81" t="s">
        <v>162</v>
      </c>
      <c r="G81" t="s">
        <v>162</v>
      </c>
      <c r="H81" t="s">
        <v>135</v>
      </c>
      <c r="I81" t="s">
        <v>172</v>
      </c>
    </row>
    <row r="82" spans="1:9" x14ac:dyDescent="0.2">
      <c r="A82" t="s">
        <v>198</v>
      </c>
      <c r="B82" t="s">
        <v>10</v>
      </c>
      <c r="C82" t="s">
        <v>45</v>
      </c>
      <c r="D82" t="s">
        <v>189</v>
      </c>
      <c r="E82" t="s">
        <v>157</v>
      </c>
      <c r="F82" t="s">
        <v>162</v>
      </c>
      <c r="G82" t="s">
        <v>134</v>
      </c>
      <c r="H82" t="s">
        <v>136</v>
      </c>
      <c r="I82" t="s">
        <v>172</v>
      </c>
    </row>
    <row r="83" spans="1:9" x14ac:dyDescent="0.2">
      <c r="A83" t="s">
        <v>199</v>
      </c>
      <c r="B83" t="s">
        <v>10</v>
      </c>
      <c r="C83" t="s">
        <v>191</v>
      </c>
      <c r="D83" t="s">
        <v>178</v>
      </c>
      <c r="E83" t="s">
        <v>157</v>
      </c>
      <c r="F83" t="s">
        <v>162</v>
      </c>
      <c r="G83" t="s">
        <v>162</v>
      </c>
      <c r="H83" t="s">
        <v>134</v>
      </c>
      <c r="I83" t="s">
        <v>172</v>
      </c>
    </row>
    <row r="84" spans="1:9" x14ac:dyDescent="0.2">
      <c r="A84" t="s">
        <v>200</v>
      </c>
      <c r="B84" t="s">
        <v>10</v>
      </c>
      <c r="C84" t="s">
        <v>180</v>
      </c>
      <c r="D84" t="s">
        <v>161</v>
      </c>
      <c r="E84" t="s">
        <v>157</v>
      </c>
      <c r="F84" t="s">
        <v>162</v>
      </c>
      <c r="G84" t="s">
        <v>162</v>
      </c>
      <c r="H84" t="s">
        <v>162</v>
      </c>
      <c r="I84" t="s">
        <v>181</v>
      </c>
    </row>
    <row r="85" spans="1:9" x14ac:dyDescent="0.2">
      <c r="A85" t="s">
        <v>201</v>
      </c>
      <c r="B85" t="s">
        <v>10</v>
      </c>
      <c r="C85" t="s">
        <v>166</v>
      </c>
      <c r="D85" t="s">
        <v>161</v>
      </c>
      <c r="E85" t="s">
        <v>157</v>
      </c>
      <c r="F85" t="s">
        <v>162</v>
      </c>
      <c r="G85" t="s">
        <v>162</v>
      </c>
      <c r="H85" t="s">
        <v>134</v>
      </c>
      <c r="I85" t="s">
        <v>163</v>
      </c>
    </row>
    <row r="86" spans="1:9" x14ac:dyDescent="0.2">
      <c r="A86" t="s">
        <v>202</v>
      </c>
      <c r="B86" t="s">
        <v>10</v>
      </c>
      <c r="C86" t="s">
        <v>166</v>
      </c>
      <c r="D86" t="s">
        <v>161</v>
      </c>
      <c r="E86" t="s">
        <v>157</v>
      </c>
      <c r="F86" t="s">
        <v>162</v>
      </c>
      <c r="G86" t="s">
        <v>162</v>
      </c>
      <c r="H86" t="s">
        <v>134</v>
      </c>
      <c r="I86" t="s">
        <v>163</v>
      </c>
    </row>
    <row r="87" spans="1:9" x14ac:dyDescent="0.2">
      <c r="A87" t="s">
        <v>203</v>
      </c>
      <c r="B87" t="s">
        <v>10</v>
      </c>
      <c r="C87" t="s">
        <v>166</v>
      </c>
      <c r="D87" t="s">
        <v>161</v>
      </c>
      <c r="E87" t="s">
        <v>157</v>
      </c>
      <c r="F87" t="s">
        <v>162</v>
      </c>
      <c r="G87" t="s">
        <v>162</v>
      </c>
      <c r="H87" t="s">
        <v>134</v>
      </c>
      <c r="I87" t="s">
        <v>163</v>
      </c>
    </row>
    <row r="88" spans="1:9" x14ac:dyDescent="0.2">
      <c r="A88" t="s">
        <v>204</v>
      </c>
      <c r="B88" t="s">
        <v>10</v>
      </c>
      <c r="C88" t="s">
        <v>205</v>
      </c>
      <c r="D88" t="s">
        <v>189</v>
      </c>
      <c r="E88" t="s">
        <v>162</v>
      </c>
      <c r="F88" t="s">
        <v>162</v>
      </c>
      <c r="G88" t="s">
        <v>162</v>
      </c>
      <c r="H88" t="s">
        <v>135</v>
      </c>
      <c r="I88" t="s">
        <v>206</v>
      </c>
    </row>
    <row r="89" spans="1:9" x14ac:dyDescent="0.2">
      <c r="A89" t="s">
        <v>207</v>
      </c>
      <c r="B89" t="s">
        <v>10</v>
      </c>
      <c r="C89" t="s">
        <v>208</v>
      </c>
      <c r="D89" t="s">
        <v>175</v>
      </c>
      <c r="E89" t="s">
        <v>162</v>
      </c>
      <c r="F89" t="s">
        <v>162</v>
      </c>
      <c r="G89" t="s">
        <v>162</v>
      </c>
      <c r="H89" t="s">
        <v>135</v>
      </c>
      <c r="I89" t="s">
        <v>206</v>
      </c>
    </row>
    <row r="90" spans="1:9" x14ac:dyDescent="0.2">
      <c r="A90" t="s">
        <v>209</v>
      </c>
      <c r="B90" t="s">
        <v>10</v>
      </c>
      <c r="C90" t="s">
        <v>208</v>
      </c>
      <c r="D90" t="s">
        <v>175</v>
      </c>
      <c r="E90" t="s">
        <v>162</v>
      </c>
      <c r="F90" t="s">
        <v>162</v>
      </c>
      <c r="G90" t="s">
        <v>162</v>
      </c>
      <c r="H90" t="s">
        <v>135</v>
      </c>
      <c r="I90" t="s">
        <v>206</v>
      </c>
    </row>
    <row r="91" spans="1:9" x14ac:dyDescent="0.2">
      <c r="A91" t="s">
        <v>210</v>
      </c>
      <c r="B91" t="s">
        <v>10</v>
      </c>
    </row>
    <row r="92" spans="1:9" x14ac:dyDescent="0.2">
      <c r="A92" t="s">
        <v>211</v>
      </c>
      <c r="B92" t="s">
        <v>212</v>
      </c>
      <c r="C92" t="s">
        <v>121</v>
      </c>
    </row>
    <row r="93" spans="1:9" x14ac:dyDescent="0.2">
      <c r="A93" t="s">
        <v>148</v>
      </c>
      <c r="B93" t="s">
        <v>213</v>
      </c>
      <c r="C93" t="s">
        <v>214</v>
      </c>
    </row>
    <row r="94" spans="1:9" x14ac:dyDescent="0.2">
      <c r="A94" t="s">
        <v>215</v>
      </c>
      <c r="B94" t="s">
        <v>216</v>
      </c>
      <c r="C94" t="s">
        <v>217</v>
      </c>
    </row>
    <row r="95" spans="1:9" x14ac:dyDescent="0.2">
      <c r="A95" t="s">
        <v>218</v>
      </c>
      <c r="B95" t="s">
        <v>219</v>
      </c>
      <c r="C95" t="s">
        <v>220</v>
      </c>
    </row>
    <row r="96" spans="1:9" x14ac:dyDescent="0.2">
      <c r="A96" t="s">
        <v>221</v>
      </c>
      <c r="B96" t="s">
        <v>10</v>
      </c>
      <c r="C96" t="s">
        <v>161</v>
      </c>
      <c r="D96" t="s">
        <v>161</v>
      </c>
      <c r="E96" t="s">
        <v>157</v>
      </c>
      <c r="F96" t="s">
        <v>162</v>
      </c>
      <c r="G96" t="s">
        <v>162</v>
      </c>
      <c r="H96" t="s">
        <v>134</v>
      </c>
      <c r="I96" t="s">
        <v>163</v>
      </c>
    </row>
    <row r="97" spans="1:9" x14ac:dyDescent="0.2">
      <c r="A97" t="s">
        <v>222</v>
      </c>
      <c r="B97" t="s">
        <v>10</v>
      </c>
      <c r="C97" t="s">
        <v>161</v>
      </c>
      <c r="D97" t="s">
        <v>161</v>
      </c>
      <c r="E97" t="s">
        <v>157</v>
      </c>
      <c r="F97" t="s">
        <v>162</v>
      </c>
      <c r="G97" t="s">
        <v>162</v>
      </c>
      <c r="H97" t="s">
        <v>134</v>
      </c>
      <c r="I97" t="s">
        <v>163</v>
      </c>
    </row>
    <row r="98" spans="1:9" x14ac:dyDescent="0.2">
      <c r="A98" t="s">
        <v>223</v>
      </c>
      <c r="B98" t="s">
        <v>10</v>
      </c>
      <c r="C98" t="s">
        <v>161</v>
      </c>
      <c r="D98" t="s">
        <v>161</v>
      </c>
      <c r="E98" t="s">
        <v>157</v>
      </c>
      <c r="F98" t="s">
        <v>162</v>
      </c>
      <c r="G98" t="s">
        <v>162</v>
      </c>
      <c r="H98" t="s">
        <v>134</v>
      </c>
      <c r="I98" t="s">
        <v>163</v>
      </c>
    </row>
    <row r="99" spans="1:9" x14ac:dyDescent="0.2">
      <c r="A99" t="s">
        <v>224</v>
      </c>
      <c r="B99" t="s">
        <v>10</v>
      </c>
      <c r="C99" t="s">
        <v>205</v>
      </c>
      <c r="D99" t="s">
        <v>189</v>
      </c>
      <c r="E99" t="s">
        <v>162</v>
      </c>
      <c r="F99" t="s">
        <v>162</v>
      </c>
      <c r="G99" t="s">
        <v>162</v>
      </c>
      <c r="H99" t="s">
        <v>135</v>
      </c>
      <c r="I99" t="s">
        <v>206</v>
      </c>
    </row>
    <row r="100" spans="1:9" x14ac:dyDescent="0.2">
      <c r="A100" t="s">
        <v>225</v>
      </c>
      <c r="B100" t="s">
        <v>10</v>
      </c>
      <c r="C100" t="s">
        <v>208</v>
      </c>
      <c r="D100" t="s">
        <v>175</v>
      </c>
      <c r="E100" t="s">
        <v>162</v>
      </c>
      <c r="F100" t="s">
        <v>162</v>
      </c>
      <c r="G100" t="s">
        <v>162</v>
      </c>
      <c r="H100" t="s">
        <v>135</v>
      </c>
      <c r="I100" t="s">
        <v>206</v>
      </c>
    </row>
    <row r="101" spans="1:9" x14ac:dyDescent="0.2">
      <c r="A101" t="s">
        <v>226</v>
      </c>
      <c r="B101" t="s">
        <v>10</v>
      </c>
      <c r="C101" t="s">
        <v>208</v>
      </c>
      <c r="D101" t="s">
        <v>175</v>
      </c>
      <c r="E101" t="s">
        <v>162</v>
      </c>
      <c r="F101" t="s">
        <v>162</v>
      </c>
      <c r="G101" t="s">
        <v>162</v>
      </c>
      <c r="H101" t="s">
        <v>135</v>
      </c>
      <c r="I101" t="s">
        <v>206</v>
      </c>
    </row>
    <row r="102" spans="1:9" x14ac:dyDescent="0.2">
      <c r="A102" t="s">
        <v>227</v>
      </c>
      <c r="B102" t="s">
        <v>10</v>
      </c>
    </row>
    <row r="103" spans="1:9" x14ac:dyDescent="0.2">
      <c r="A103" t="s">
        <v>211</v>
      </c>
      <c r="B103" t="s">
        <v>228</v>
      </c>
      <c r="C103" t="s">
        <v>229</v>
      </c>
    </row>
    <row r="104" spans="1:9" x14ac:dyDescent="0.2">
      <c r="A104" t="s">
        <v>148</v>
      </c>
      <c r="B104" t="s">
        <v>230</v>
      </c>
      <c r="C104" t="s">
        <v>231</v>
      </c>
    </row>
    <row r="105" spans="1:9" x14ac:dyDescent="0.2">
      <c r="A105" t="s">
        <v>215</v>
      </c>
      <c r="B105" t="s">
        <v>232</v>
      </c>
      <c r="C105" t="s">
        <v>16</v>
      </c>
    </row>
    <row r="106" spans="1:9" x14ac:dyDescent="0.2">
      <c r="A106" t="s">
        <v>218</v>
      </c>
      <c r="B106" t="s">
        <v>233</v>
      </c>
      <c r="C106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6"/>
  <sheetViews>
    <sheetView tabSelected="1" topLeftCell="A84" workbookViewId="0">
      <selection activeCell="C27" sqref="C27"/>
    </sheetView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234</v>
      </c>
    </row>
    <row r="3" spans="1:9" x14ac:dyDescent="0.2">
      <c r="A3" t="s">
        <v>11</v>
      </c>
      <c r="B3" t="s">
        <v>235</v>
      </c>
      <c r="C3" t="s">
        <v>13</v>
      </c>
    </row>
    <row r="4" spans="1:9" x14ac:dyDescent="0.2">
      <c r="A4" t="s">
        <v>14</v>
      </c>
      <c r="B4" t="s">
        <v>236</v>
      </c>
      <c r="C4" t="s">
        <v>16</v>
      </c>
    </row>
    <row r="5" spans="1:9" x14ac:dyDescent="0.2">
      <c r="A5" t="s">
        <v>17</v>
      </c>
      <c r="B5" t="s">
        <v>234</v>
      </c>
    </row>
    <row r="6" spans="1:9" x14ac:dyDescent="0.2">
      <c r="A6" t="s">
        <v>11</v>
      </c>
      <c r="B6" t="s">
        <v>237</v>
      </c>
      <c r="C6" t="s">
        <v>19</v>
      </c>
    </row>
    <row r="7" spans="1:9" x14ac:dyDescent="0.2">
      <c r="A7" t="s">
        <v>14</v>
      </c>
      <c r="B7" t="s">
        <v>238</v>
      </c>
      <c r="C7" t="s">
        <v>21</v>
      </c>
    </row>
    <row r="8" spans="1:9" x14ac:dyDescent="0.2">
      <c r="A8" t="s">
        <v>22</v>
      </c>
      <c r="B8" t="s">
        <v>234</v>
      </c>
    </row>
    <row r="9" spans="1:9" x14ac:dyDescent="0.2">
      <c r="A9" t="s">
        <v>11</v>
      </c>
      <c r="B9" t="s">
        <v>239</v>
      </c>
      <c r="C9" t="s">
        <v>24</v>
      </c>
    </row>
    <row r="10" spans="1:9" x14ac:dyDescent="0.2">
      <c r="A10" t="s">
        <v>14</v>
      </c>
      <c r="B10" t="s">
        <v>240</v>
      </c>
      <c r="C10" t="s">
        <v>26</v>
      </c>
    </row>
    <row r="11" spans="1:9" x14ac:dyDescent="0.2">
      <c r="A11" t="s">
        <v>27</v>
      </c>
      <c r="B11" t="s">
        <v>234</v>
      </c>
    </row>
    <row r="12" spans="1:9" x14ac:dyDescent="0.2">
      <c r="A12" t="s">
        <v>11</v>
      </c>
      <c r="B12" t="s">
        <v>241</v>
      </c>
      <c r="C12" t="s">
        <v>29</v>
      </c>
    </row>
    <row r="13" spans="1:9" x14ac:dyDescent="0.2">
      <c r="A13" t="s">
        <v>14</v>
      </c>
      <c r="B13" t="s">
        <v>242</v>
      </c>
      <c r="C13" t="s">
        <v>31</v>
      </c>
    </row>
    <row r="14" spans="1:9" x14ac:dyDescent="0.2">
      <c r="A14" t="s">
        <v>32</v>
      </c>
      <c r="B14" t="s">
        <v>234</v>
      </c>
    </row>
    <row r="15" spans="1:9" x14ac:dyDescent="0.2">
      <c r="A15" t="s">
        <v>11</v>
      </c>
      <c r="B15" t="s">
        <v>243</v>
      </c>
      <c r="C15" t="s">
        <v>16</v>
      </c>
    </row>
    <row r="16" spans="1:9" x14ac:dyDescent="0.2">
      <c r="A16" t="s">
        <v>14</v>
      </c>
      <c r="B16" t="s">
        <v>244</v>
      </c>
      <c r="C16" t="s">
        <v>13</v>
      </c>
    </row>
    <row r="17" spans="1:9" x14ac:dyDescent="0.2">
      <c r="A17" t="s">
        <v>35</v>
      </c>
      <c r="B17" t="s">
        <v>234</v>
      </c>
      <c r="C17" t="s">
        <v>245</v>
      </c>
      <c r="D17" t="s">
        <v>246</v>
      </c>
      <c r="E17" t="s">
        <v>38</v>
      </c>
      <c r="F17" t="s">
        <v>39</v>
      </c>
      <c r="G17" t="s">
        <v>40</v>
      </c>
      <c r="H17" t="s">
        <v>41</v>
      </c>
      <c r="I17" t="s">
        <v>42</v>
      </c>
    </row>
    <row r="18" spans="1:9" x14ac:dyDescent="0.2">
      <c r="A18" t="s">
        <v>43</v>
      </c>
      <c r="B18" t="s">
        <v>234</v>
      </c>
      <c r="C18" t="s">
        <v>44</v>
      </c>
      <c r="D18" t="s">
        <v>45</v>
      </c>
      <c r="E18" t="s">
        <v>46</v>
      </c>
      <c r="F18" t="s">
        <v>47</v>
      </c>
      <c r="G18" t="s">
        <v>48</v>
      </c>
      <c r="H18" t="s">
        <v>49</v>
      </c>
      <c r="I18" t="s">
        <v>50</v>
      </c>
    </row>
    <row r="19" spans="1:9" x14ac:dyDescent="0.2">
      <c r="A19" t="s">
        <v>51</v>
      </c>
      <c r="B19" t="s">
        <v>234</v>
      </c>
    </row>
    <row r="20" spans="1:9" x14ac:dyDescent="0.2">
      <c r="A20" t="s">
        <v>52</v>
      </c>
      <c r="B20" t="s">
        <v>247</v>
      </c>
      <c r="C20" t="s">
        <v>54</v>
      </c>
    </row>
    <row r="21" spans="1:9" x14ac:dyDescent="0.2">
      <c r="A21" t="s">
        <v>55</v>
      </c>
      <c r="B21" t="s">
        <v>248</v>
      </c>
      <c r="C21" t="s">
        <v>57</v>
      </c>
    </row>
    <row r="22" spans="1:9" x14ac:dyDescent="0.2">
      <c r="A22" t="s">
        <v>58</v>
      </c>
      <c r="B22" t="s">
        <v>234</v>
      </c>
    </row>
    <row r="23" spans="1:9" x14ac:dyDescent="0.2">
      <c r="A23" t="s">
        <v>59</v>
      </c>
      <c r="B23" t="s">
        <v>249</v>
      </c>
      <c r="C23" t="s">
        <v>214</v>
      </c>
    </row>
    <row r="24" spans="1:9" x14ac:dyDescent="0.2">
      <c r="A24" t="s">
        <v>62</v>
      </c>
      <c r="B24" t="s">
        <v>250</v>
      </c>
      <c r="C24" t="s">
        <v>64</v>
      </c>
    </row>
    <row r="25" spans="1:9" x14ac:dyDescent="0.2">
      <c r="A25" t="s">
        <v>65</v>
      </c>
      <c r="B25" t="s">
        <v>251</v>
      </c>
      <c r="C25" t="s">
        <v>67</v>
      </c>
    </row>
    <row r="26" spans="1:9" x14ac:dyDescent="0.2">
      <c r="A26" t="s">
        <v>68</v>
      </c>
      <c r="B26" t="s">
        <v>252</v>
      </c>
      <c r="C26" t="s">
        <v>70</v>
      </c>
    </row>
    <row r="27" spans="1:9" x14ac:dyDescent="0.2">
      <c r="A27" t="s">
        <v>71</v>
      </c>
      <c r="B27" t="s">
        <v>253</v>
      </c>
      <c r="C27" t="s">
        <v>73</v>
      </c>
    </row>
    <row r="28" spans="1:9" x14ac:dyDescent="0.2">
      <c r="A28" t="s">
        <v>74</v>
      </c>
      <c r="B28" t="s">
        <v>234</v>
      </c>
    </row>
    <row r="29" spans="1:9" x14ac:dyDescent="0.2">
      <c r="A29" t="s">
        <v>75</v>
      </c>
      <c r="B29" t="s">
        <v>254</v>
      </c>
      <c r="C29" t="s">
        <v>77</v>
      </c>
    </row>
    <row r="30" spans="1:9" x14ac:dyDescent="0.2">
      <c r="A30" t="s">
        <v>78</v>
      </c>
      <c r="B30" t="s">
        <v>255</v>
      </c>
      <c r="C30" t="s">
        <v>80</v>
      </c>
    </row>
    <row r="31" spans="1:9" x14ac:dyDescent="0.2">
      <c r="A31" t="s">
        <v>81</v>
      </c>
      <c r="B31" t="s">
        <v>256</v>
      </c>
      <c r="C31" t="s">
        <v>83</v>
      </c>
    </row>
    <row r="32" spans="1:9" x14ac:dyDescent="0.2">
      <c r="A32" t="s">
        <v>84</v>
      </c>
      <c r="B32" t="s">
        <v>257</v>
      </c>
      <c r="C32" t="s">
        <v>86</v>
      </c>
    </row>
    <row r="33" spans="1:3" x14ac:dyDescent="0.2">
      <c r="A33" t="s">
        <v>87</v>
      </c>
      <c r="B33" t="s">
        <v>234</v>
      </c>
    </row>
    <row r="34" spans="1:3" x14ac:dyDescent="0.2">
      <c r="A34" t="s">
        <v>88</v>
      </c>
      <c r="B34" t="s">
        <v>258</v>
      </c>
      <c r="C34" t="s">
        <v>90</v>
      </c>
    </row>
    <row r="35" spans="1:3" x14ac:dyDescent="0.2">
      <c r="A35" t="s">
        <v>91</v>
      </c>
      <c r="B35" t="s">
        <v>259</v>
      </c>
      <c r="C35" t="s">
        <v>93</v>
      </c>
    </row>
    <row r="36" spans="1:3" x14ac:dyDescent="0.2">
      <c r="A36" t="s">
        <v>94</v>
      </c>
      <c r="B36" t="s">
        <v>234</v>
      </c>
    </row>
    <row r="37" spans="1:3" x14ac:dyDescent="0.2">
      <c r="A37" t="s">
        <v>59</v>
      </c>
      <c r="B37" t="s">
        <v>260</v>
      </c>
      <c r="C37" t="s">
        <v>96</v>
      </c>
    </row>
    <row r="38" spans="1:3" x14ac:dyDescent="0.2">
      <c r="A38" t="s">
        <v>62</v>
      </c>
      <c r="B38" t="s">
        <v>261</v>
      </c>
      <c r="C38" t="s">
        <v>98</v>
      </c>
    </row>
    <row r="39" spans="1:3" x14ac:dyDescent="0.2">
      <c r="A39" t="s">
        <v>65</v>
      </c>
      <c r="B39" t="s">
        <v>262</v>
      </c>
      <c r="C39" t="s">
        <v>100</v>
      </c>
    </row>
    <row r="40" spans="1:3" x14ac:dyDescent="0.2">
      <c r="A40" t="s">
        <v>68</v>
      </c>
      <c r="B40" t="s">
        <v>263</v>
      </c>
      <c r="C40" t="s">
        <v>102</v>
      </c>
    </row>
    <row r="41" spans="1:3" x14ac:dyDescent="0.2">
      <c r="A41" t="s">
        <v>71</v>
      </c>
      <c r="B41" t="s">
        <v>264</v>
      </c>
      <c r="C41" t="s">
        <v>104</v>
      </c>
    </row>
    <row r="42" spans="1:3" x14ac:dyDescent="0.2">
      <c r="A42" t="s">
        <v>105</v>
      </c>
      <c r="B42" t="s">
        <v>265</v>
      </c>
      <c r="C42" t="s">
        <v>31</v>
      </c>
    </row>
    <row r="43" spans="1:3" x14ac:dyDescent="0.2">
      <c r="A43" t="s">
        <v>107</v>
      </c>
      <c r="B43" t="s">
        <v>234</v>
      </c>
    </row>
    <row r="44" spans="1:3" x14ac:dyDescent="0.2">
      <c r="A44" t="s">
        <v>75</v>
      </c>
      <c r="B44" t="s">
        <v>266</v>
      </c>
      <c r="C44" t="s">
        <v>109</v>
      </c>
    </row>
    <row r="45" spans="1:3" x14ac:dyDescent="0.2">
      <c r="A45" t="s">
        <v>78</v>
      </c>
      <c r="B45" t="s">
        <v>267</v>
      </c>
      <c r="C45" t="s">
        <v>111</v>
      </c>
    </row>
    <row r="46" spans="1:3" x14ac:dyDescent="0.2">
      <c r="A46" t="s">
        <v>81</v>
      </c>
      <c r="B46" t="s">
        <v>268</v>
      </c>
      <c r="C46" t="s">
        <v>113</v>
      </c>
    </row>
    <row r="47" spans="1:3" x14ac:dyDescent="0.2">
      <c r="A47" t="s">
        <v>84</v>
      </c>
      <c r="B47" t="s">
        <v>269</v>
      </c>
      <c r="C47" t="s">
        <v>115</v>
      </c>
    </row>
    <row r="48" spans="1:3" x14ac:dyDescent="0.2">
      <c r="A48" t="s">
        <v>105</v>
      </c>
      <c r="B48" t="s">
        <v>270</v>
      </c>
      <c r="C48" t="s">
        <v>102</v>
      </c>
    </row>
    <row r="49" spans="1:9" x14ac:dyDescent="0.2">
      <c r="A49" t="s">
        <v>117</v>
      </c>
      <c r="B49" t="s">
        <v>234</v>
      </c>
    </row>
    <row r="50" spans="1:9" x14ac:dyDescent="0.2">
      <c r="A50" t="s">
        <v>88</v>
      </c>
      <c r="B50" t="s">
        <v>271</v>
      </c>
      <c r="C50" t="s">
        <v>119</v>
      </c>
    </row>
    <row r="51" spans="1:9" x14ac:dyDescent="0.2">
      <c r="A51" t="s">
        <v>91</v>
      </c>
      <c r="B51" t="s">
        <v>272</v>
      </c>
      <c r="C51" t="s">
        <v>121</v>
      </c>
    </row>
    <row r="52" spans="1:9" x14ac:dyDescent="0.2">
      <c r="A52" t="s">
        <v>105</v>
      </c>
      <c r="B52" t="s">
        <v>273</v>
      </c>
      <c r="C52" t="s">
        <v>31</v>
      </c>
    </row>
    <row r="53" spans="1:9" x14ac:dyDescent="0.2">
      <c r="A53" t="s">
        <v>123</v>
      </c>
      <c r="B53" t="s">
        <v>234</v>
      </c>
      <c r="C53" t="s">
        <v>274</v>
      </c>
      <c r="D53" t="s">
        <v>125</v>
      </c>
      <c r="E53" t="s">
        <v>126</v>
      </c>
      <c r="F53" t="s">
        <v>127</v>
      </c>
      <c r="G53" t="s">
        <v>128</v>
      </c>
      <c r="H53" t="s">
        <v>129</v>
      </c>
      <c r="I53" t="s">
        <v>130</v>
      </c>
    </row>
    <row r="54" spans="1:9" x14ac:dyDescent="0.2">
      <c r="A54" t="s">
        <v>131</v>
      </c>
      <c r="B54" t="s">
        <v>234</v>
      </c>
      <c r="C54" t="s">
        <v>275</v>
      </c>
      <c r="D54" t="s">
        <v>276</v>
      </c>
      <c r="E54" t="s">
        <v>134</v>
      </c>
      <c r="F54" t="s">
        <v>135</v>
      </c>
      <c r="G54" t="s">
        <v>136</v>
      </c>
      <c r="H54" t="s">
        <v>137</v>
      </c>
      <c r="I54" t="s">
        <v>138</v>
      </c>
    </row>
    <row r="55" spans="1:9" x14ac:dyDescent="0.2">
      <c r="A55" t="s">
        <v>139</v>
      </c>
      <c r="B55" t="s">
        <v>234</v>
      </c>
      <c r="C55" t="s">
        <v>140</v>
      </c>
      <c r="D55" t="s">
        <v>141</v>
      </c>
      <c r="E55" t="s">
        <v>142</v>
      </c>
      <c r="F55" t="s">
        <v>143</v>
      </c>
      <c r="G55" t="s">
        <v>144</v>
      </c>
      <c r="H55" t="s">
        <v>145</v>
      </c>
      <c r="I55" t="s">
        <v>146</v>
      </c>
    </row>
    <row r="56" spans="1:9" x14ac:dyDescent="0.2">
      <c r="A56" t="s">
        <v>147</v>
      </c>
      <c r="B56" t="s">
        <v>234</v>
      </c>
    </row>
    <row r="57" spans="1:9" x14ac:dyDescent="0.2">
      <c r="A57" t="s">
        <v>148</v>
      </c>
      <c r="B57" t="s">
        <v>277</v>
      </c>
      <c r="C57" t="s">
        <v>150</v>
      </c>
    </row>
    <row r="58" spans="1:9" x14ac:dyDescent="0.2">
      <c r="A58" t="s">
        <v>151</v>
      </c>
      <c r="B58" t="s">
        <v>278</v>
      </c>
      <c r="C58" t="s">
        <v>153</v>
      </c>
    </row>
    <row r="59" spans="1:9" x14ac:dyDescent="0.2">
      <c r="A59" t="s">
        <v>154</v>
      </c>
      <c r="B59" t="s">
        <v>279</v>
      </c>
      <c r="C59" t="s">
        <v>61</v>
      </c>
    </row>
    <row r="60" spans="1:9" x14ac:dyDescent="0.2">
      <c r="A60" t="s">
        <v>156</v>
      </c>
      <c r="B60" t="s">
        <v>157</v>
      </c>
      <c r="C60" t="s">
        <v>158</v>
      </c>
    </row>
    <row r="61" spans="1:9" x14ac:dyDescent="0.2">
      <c r="A61" t="s">
        <v>159</v>
      </c>
      <c r="B61" t="s">
        <v>234</v>
      </c>
      <c r="C61" t="s">
        <v>160</v>
      </c>
      <c r="D61" t="s">
        <v>161</v>
      </c>
      <c r="E61" t="s">
        <v>157</v>
      </c>
      <c r="F61" t="s">
        <v>162</v>
      </c>
      <c r="G61" t="s">
        <v>134</v>
      </c>
      <c r="H61" t="s">
        <v>134</v>
      </c>
      <c r="I61" t="s">
        <v>163</v>
      </c>
    </row>
    <row r="62" spans="1:9" x14ac:dyDescent="0.2">
      <c r="A62" t="s">
        <v>164</v>
      </c>
      <c r="B62" t="s">
        <v>234</v>
      </c>
      <c r="C62" t="s">
        <v>280</v>
      </c>
      <c r="D62" t="s">
        <v>161</v>
      </c>
      <c r="E62" t="s">
        <v>157</v>
      </c>
      <c r="F62" t="s">
        <v>162</v>
      </c>
      <c r="G62" t="s">
        <v>134</v>
      </c>
      <c r="H62" t="s">
        <v>134</v>
      </c>
      <c r="I62" t="s">
        <v>163</v>
      </c>
    </row>
    <row r="63" spans="1:9" x14ac:dyDescent="0.2">
      <c r="A63" t="s">
        <v>165</v>
      </c>
      <c r="B63" t="s">
        <v>234</v>
      </c>
      <c r="C63" t="s">
        <v>161</v>
      </c>
      <c r="D63" t="s">
        <v>161</v>
      </c>
      <c r="E63" t="s">
        <v>157</v>
      </c>
      <c r="F63" t="s">
        <v>162</v>
      </c>
      <c r="G63" t="s">
        <v>162</v>
      </c>
      <c r="H63" t="s">
        <v>134</v>
      </c>
      <c r="I63" t="s">
        <v>163</v>
      </c>
    </row>
    <row r="64" spans="1:9" x14ac:dyDescent="0.2">
      <c r="A64" t="s">
        <v>167</v>
      </c>
      <c r="B64" t="s">
        <v>234</v>
      </c>
      <c r="C64" t="s">
        <v>168</v>
      </c>
      <c r="D64" t="s">
        <v>169</v>
      </c>
      <c r="E64" t="s">
        <v>157</v>
      </c>
      <c r="F64" t="s">
        <v>162</v>
      </c>
      <c r="G64" t="s">
        <v>162</v>
      </c>
      <c r="H64" t="s">
        <v>162</v>
      </c>
      <c r="I64" t="s">
        <v>163</v>
      </c>
    </row>
    <row r="65" spans="1:9" x14ac:dyDescent="0.2">
      <c r="A65" t="s">
        <v>170</v>
      </c>
      <c r="B65" t="s">
        <v>234</v>
      </c>
      <c r="C65" t="s">
        <v>187</v>
      </c>
      <c r="D65" t="s">
        <v>281</v>
      </c>
      <c r="E65" t="s">
        <v>157</v>
      </c>
      <c r="F65" t="s">
        <v>162</v>
      </c>
      <c r="G65" t="s">
        <v>134</v>
      </c>
      <c r="H65" t="s">
        <v>282</v>
      </c>
      <c r="I65" t="s">
        <v>172</v>
      </c>
    </row>
    <row r="66" spans="1:9" x14ac:dyDescent="0.2">
      <c r="A66" t="s">
        <v>173</v>
      </c>
      <c r="B66" t="s">
        <v>234</v>
      </c>
      <c r="C66" t="s">
        <v>189</v>
      </c>
      <c r="D66" t="s">
        <v>175</v>
      </c>
      <c r="E66" t="s">
        <v>157</v>
      </c>
      <c r="F66" t="s">
        <v>162</v>
      </c>
      <c r="G66" t="s">
        <v>134</v>
      </c>
      <c r="H66" t="s">
        <v>136</v>
      </c>
      <c r="I66" t="s">
        <v>172</v>
      </c>
    </row>
    <row r="67" spans="1:9" x14ac:dyDescent="0.2">
      <c r="A67" t="s">
        <v>176</v>
      </c>
      <c r="B67" t="s">
        <v>234</v>
      </c>
      <c r="C67" t="s">
        <v>177</v>
      </c>
      <c r="D67" t="s">
        <v>283</v>
      </c>
      <c r="E67" t="s">
        <v>157</v>
      </c>
      <c r="F67" t="s">
        <v>162</v>
      </c>
      <c r="G67" t="s">
        <v>162</v>
      </c>
      <c r="H67" t="s">
        <v>134</v>
      </c>
      <c r="I67" t="s">
        <v>172</v>
      </c>
    </row>
    <row r="68" spans="1:9" x14ac:dyDescent="0.2">
      <c r="A68" t="s">
        <v>179</v>
      </c>
      <c r="B68" t="s">
        <v>234</v>
      </c>
      <c r="C68" t="s">
        <v>180</v>
      </c>
      <c r="D68" t="s">
        <v>160</v>
      </c>
      <c r="E68" t="s">
        <v>157</v>
      </c>
      <c r="F68" t="s">
        <v>162</v>
      </c>
      <c r="G68" t="s">
        <v>162</v>
      </c>
      <c r="H68" t="s">
        <v>162</v>
      </c>
      <c r="I68" t="s">
        <v>181</v>
      </c>
    </row>
    <row r="69" spans="1:9" x14ac:dyDescent="0.2">
      <c r="A69" t="s">
        <v>182</v>
      </c>
      <c r="B69" t="s">
        <v>234</v>
      </c>
      <c r="C69" t="s">
        <v>161</v>
      </c>
      <c r="D69" t="s">
        <v>161</v>
      </c>
      <c r="E69" t="s">
        <v>157</v>
      </c>
      <c r="F69" t="s">
        <v>162</v>
      </c>
      <c r="G69" t="s">
        <v>134</v>
      </c>
      <c r="H69" t="s">
        <v>134</v>
      </c>
      <c r="I69" t="s">
        <v>163</v>
      </c>
    </row>
    <row r="70" spans="1:9" x14ac:dyDescent="0.2">
      <c r="A70" t="s">
        <v>183</v>
      </c>
      <c r="B70" t="s">
        <v>234</v>
      </c>
      <c r="C70" t="s">
        <v>280</v>
      </c>
      <c r="D70" t="s">
        <v>161</v>
      </c>
      <c r="E70" t="s">
        <v>157</v>
      </c>
      <c r="F70" t="s">
        <v>162</v>
      </c>
      <c r="G70" t="s">
        <v>134</v>
      </c>
      <c r="H70" t="s">
        <v>134</v>
      </c>
      <c r="I70" t="s">
        <v>163</v>
      </c>
    </row>
    <row r="71" spans="1:9" x14ac:dyDescent="0.2">
      <c r="A71" t="s">
        <v>184</v>
      </c>
      <c r="B71" t="s">
        <v>234</v>
      </c>
      <c r="C71" t="s">
        <v>166</v>
      </c>
      <c r="D71" t="s">
        <v>161</v>
      </c>
      <c r="E71" t="s">
        <v>157</v>
      </c>
      <c r="F71" t="s">
        <v>162</v>
      </c>
      <c r="G71" t="s">
        <v>162</v>
      </c>
      <c r="H71" t="s">
        <v>134</v>
      </c>
      <c r="I71" t="s">
        <v>163</v>
      </c>
    </row>
    <row r="72" spans="1:9" x14ac:dyDescent="0.2">
      <c r="A72" t="s">
        <v>185</v>
      </c>
      <c r="B72" t="s">
        <v>234</v>
      </c>
      <c r="C72" t="s">
        <v>168</v>
      </c>
      <c r="D72" t="s">
        <v>169</v>
      </c>
      <c r="E72" t="s">
        <v>157</v>
      </c>
      <c r="F72" t="s">
        <v>162</v>
      </c>
      <c r="G72" t="s">
        <v>162</v>
      </c>
      <c r="H72" t="s">
        <v>162</v>
      </c>
      <c r="I72" t="s">
        <v>163</v>
      </c>
    </row>
    <row r="73" spans="1:9" x14ac:dyDescent="0.2">
      <c r="A73" t="s">
        <v>186</v>
      </c>
      <c r="B73" t="s">
        <v>234</v>
      </c>
      <c r="C73" t="s">
        <v>174</v>
      </c>
      <c r="D73" t="s">
        <v>187</v>
      </c>
      <c r="E73" t="s">
        <v>157</v>
      </c>
      <c r="F73" t="s">
        <v>162</v>
      </c>
      <c r="G73" t="s">
        <v>134</v>
      </c>
      <c r="H73" t="s">
        <v>136</v>
      </c>
      <c r="I73" t="s">
        <v>172</v>
      </c>
    </row>
    <row r="74" spans="1:9" x14ac:dyDescent="0.2">
      <c r="A74" t="s">
        <v>188</v>
      </c>
      <c r="B74" t="s">
        <v>234</v>
      </c>
      <c r="C74" t="s">
        <v>189</v>
      </c>
      <c r="D74" t="s">
        <v>175</v>
      </c>
      <c r="E74" t="s">
        <v>157</v>
      </c>
      <c r="F74" t="s">
        <v>162</v>
      </c>
      <c r="G74" t="s">
        <v>134</v>
      </c>
      <c r="H74" t="s">
        <v>136</v>
      </c>
      <c r="I74" t="s">
        <v>172</v>
      </c>
    </row>
    <row r="75" spans="1:9" x14ac:dyDescent="0.2">
      <c r="A75" t="s">
        <v>190</v>
      </c>
      <c r="B75" t="s">
        <v>234</v>
      </c>
      <c r="C75" t="s">
        <v>177</v>
      </c>
      <c r="D75" t="s">
        <v>283</v>
      </c>
      <c r="E75" t="s">
        <v>157</v>
      </c>
      <c r="F75" t="s">
        <v>162</v>
      </c>
      <c r="G75" t="s">
        <v>162</v>
      </c>
      <c r="H75" t="s">
        <v>134</v>
      </c>
      <c r="I75" t="s">
        <v>172</v>
      </c>
    </row>
    <row r="76" spans="1:9" x14ac:dyDescent="0.2">
      <c r="A76" t="s">
        <v>192</v>
      </c>
      <c r="B76" t="s">
        <v>234</v>
      </c>
      <c r="C76" t="s">
        <v>180</v>
      </c>
      <c r="D76" t="s">
        <v>160</v>
      </c>
      <c r="E76" t="s">
        <v>157</v>
      </c>
      <c r="F76" t="s">
        <v>162</v>
      </c>
      <c r="G76" t="s">
        <v>162</v>
      </c>
      <c r="H76" t="s">
        <v>162</v>
      </c>
      <c r="I76" t="s">
        <v>181</v>
      </c>
    </row>
    <row r="77" spans="1:9" x14ac:dyDescent="0.2">
      <c r="A77" t="s">
        <v>193</v>
      </c>
      <c r="B77" t="s">
        <v>234</v>
      </c>
      <c r="C77" t="s">
        <v>161</v>
      </c>
      <c r="D77" t="s">
        <v>161</v>
      </c>
      <c r="E77" t="s">
        <v>157</v>
      </c>
      <c r="F77" t="s">
        <v>162</v>
      </c>
      <c r="G77" t="s">
        <v>162</v>
      </c>
      <c r="H77" t="s">
        <v>134</v>
      </c>
      <c r="I77" t="s">
        <v>163</v>
      </c>
    </row>
    <row r="78" spans="1:9" x14ac:dyDescent="0.2">
      <c r="A78" t="s">
        <v>194</v>
      </c>
      <c r="B78" t="s">
        <v>234</v>
      </c>
      <c r="C78" t="s">
        <v>280</v>
      </c>
      <c r="D78" t="s">
        <v>161</v>
      </c>
      <c r="E78" t="s">
        <v>157</v>
      </c>
      <c r="F78" t="s">
        <v>162</v>
      </c>
      <c r="G78" t="s">
        <v>134</v>
      </c>
      <c r="H78" t="s">
        <v>134</v>
      </c>
      <c r="I78" t="s">
        <v>163</v>
      </c>
    </row>
    <row r="79" spans="1:9" x14ac:dyDescent="0.2">
      <c r="A79" t="s">
        <v>195</v>
      </c>
      <c r="B79" t="s">
        <v>234</v>
      </c>
      <c r="C79" t="s">
        <v>166</v>
      </c>
      <c r="D79" t="s">
        <v>161</v>
      </c>
      <c r="E79" t="s">
        <v>157</v>
      </c>
      <c r="F79" t="s">
        <v>162</v>
      </c>
      <c r="G79" t="s">
        <v>162</v>
      </c>
      <c r="H79" t="s">
        <v>134</v>
      </c>
      <c r="I79" t="s">
        <v>163</v>
      </c>
    </row>
    <row r="80" spans="1:9" x14ac:dyDescent="0.2">
      <c r="A80" t="s">
        <v>196</v>
      </c>
      <c r="B80" t="s">
        <v>234</v>
      </c>
      <c r="C80" t="s">
        <v>168</v>
      </c>
      <c r="D80" t="s">
        <v>169</v>
      </c>
      <c r="E80" t="s">
        <v>157</v>
      </c>
      <c r="F80" t="s">
        <v>162</v>
      </c>
      <c r="G80" t="s">
        <v>162</v>
      </c>
      <c r="H80" t="s">
        <v>162</v>
      </c>
      <c r="I80" t="s">
        <v>163</v>
      </c>
    </row>
    <row r="81" spans="1:9" x14ac:dyDescent="0.2">
      <c r="A81" t="s">
        <v>197</v>
      </c>
      <c r="B81" t="s">
        <v>234</v>
      </c>
      <c r="C81" t="s">
        <v>283</v>
      </c>
      <c r="D81" t="s">
        <v>135</v>
      </c>
      <c r="E81" t="s">
        <v>157</v>
      </c>
      <c r="F81" t="s">
        <v>162</v>
      </c>
      <c r="G81" t="s">
        <v>162</v>
      </c>
      <c r="H81" t="s">
        <v>135</v>
      </c>
      <c r="I81" t="s">
        <v>172</v>
      </c>
    </row>
    <row r="82" spans="1:9" x14ac:dyDescent="0.2">
      <c r="A82" t="s">
        <v>198</v>
      </c>
      <c r="B82" t="s">
        <v>234</v>
      </c>
      <c r="C82" t="s">
        <v>174</v>
      </c>
      <c r="D82" t="s">
        <v>189</v>
      </c>
      <c r="E82" t="s">
        <v>157</v>
      </c>
      <c r="F82" t="s">
        <v>162</v>
      </c>
      <c r="G82" t="s">
        <v>134</v>
      </c>
      <c r="H82" t="s">
        <v>136</v>
      </c>
      <c r="I82" t="s">
        <v>172</v>
      </c>
    </row>
    <row r="83" spans="1:9" x14ac:dyDescent="0.2">
      <c r="A83" t="s">
        <v>199</v>
      </c>
      <c r="B83" t="s">
        <v>234</v>
      </c>
      <c r="C83" t="s">
        <v>177</v>
      </c>
      <c r="D83" t="s">
        <v>178</v>
      </c>
      <c r="E83" t="s">
        <v>157</v>
      </c>
      <c r="F83" t="s">
        <v>162</v>
      </c>
      <c r="G83" t="s">
        <v>162</v>
      </c>
      <c r="H83" t="s">
        <v>134</v>
      </c>
      <c r="I83" t="s">
        <v>172</v>
      </c>
    </row>
    <row r="84" spans="1:9" x14ac:dyDescent="0.2">
      <c r="A84" t="s">
        <v>200</v>
      </c>
      <c r="B84" t="s">
        <v>234</v>
      </c>
      <c r="C84" t="s">
        <v>180</v>
      </c>
      <c r="D84" t="s">
        <v>160</v>
      </c>
      <c r="E84" t="s">
        <v>157</v>
      </c>
      <c r="F84" t="s">
        <v>162</v>
      </c>
      <c r="G84" t="s">
        <v>162</v>
      </c>
      <c r="H84" t="s">
        <v>162</v>
      </c>
      <c r="I84" t="s">
        <v>181</v>
      </c>
    </row>
    <row r="85" spans="1:9" x14ac:dyDescent="0.2">
      <c r="A85" t="s">
        <v>201</v>
      </c>
      <c r="B85" t="s">
        <v>234</v>
      </c>
      <c r="C85" t="s">
        <v>166</v>
      </c>
      <c r="D85" t="s">
        <v>161</v>
      </c>
      <c r="E85" t="s">
        <v>157</v>
      </c>
      <c r="F85" t="s">
        <v>162</v>
      </c>
      <c r="G85" t="s">
        <v>162</v>
      </c>
      <c r="H85" t="s">
        <v>134</v>
      </c>
      <c r="I85" t="s">
        <v>163</v>
      </c>
    </row>
    <row r="86" spans="1:9" x14ac:dyDescent="0.2">
      <c r="A86" t="s">
        <v>202</v>
      </c>
      <c r="B86" t="s">
        <v>234</v>
      </c>
      <c r="C86" t="s">
        <v>166</v>
      </c>
      <c r="D86" t="s">
        <v>161</v>
      </c>
      <c r="E86" t="s">
        <v>157</v>
      </c>
      <c r="F86" t="s">
        <v>162</v>
      </c>
      <c r="G86" t="s">
        <v>162</v>
      </c>
      <c r="H86" t="s">
        <v>134</v>
      </c>
      <c r="I86" t="s">
        <v>163</v>
      </c>
    </row>
    <row r="87" spans="1:9" x14ac:dyDescent="0.2">
      <c r="A87" t="s">
        <v>203</v>
      </c>
      <c r="B87" t="s">
        <v>234</v>
      </c>
      <c r="C87" t="s">
        <v>166</v>
      </c>
      <c r="D87" t="s">
        <v>161</v>
      </c>
      <c r="E87" t="s">
        <v>157</v>
      </c>
      <c r="F87" t="s">
        <v>162</v>
      </c>
      <c r="G87" t="s">
        <v>162</v>
      </c>
      <c r="H87" t="s">
        <v>134</v>
      </c>
      <c r="I87" t="s">
        <v>163</v>
      </c>
    </row>
    <row r="88" spans="1:9" x14ac:dyDescent="0.2">
      <c r="A88" t="s">
        <v>204</v>
      </c>
      <c r="B88" t="s">
        <v>234</v>
      </c>
      <c r="C88" t="s">
        <v>178</v>
      </c>
      <c r="D88" t="s">
        <v>175</v>
      </c>
      <c r="E88" t="s">
        <v>162</v>
      </c>
      <c r="F88" t="s">
        <v>162</v>
      </c>
      <c r="G88" t="s">
        <v>162</v>
      </c>
      <c r="H88" t="s">
        <v>135</v>
      </c>
      <c r="I88" t="s">
        <v>206</v>
      </c>
    </row>
    <row r="89" spans="1:9" x14ac:dyDescent="0.2">
      <c r="A89" t="s">
        <v>207</v>
      </c>
      <c r="B89" t="s">
        <v>234</v>
      </c>
      <c r="C89" t="s">
        <v>178</v>
      </c>
      <c r="D89" t="s">
        <v>175</v>
      </c>
      <c r="E89" t="s">
        <v>162</v>
      </c>
      <c r="F89" t="s">
        <v>162</v>
      </c>
      <c r="G89" t="s">
        <v>162</v>
      </c>
      <c r="H89" t="s">
        <v>135</v>
      </c>
      <c r="I89" t="s">
        <v>206</v>
      </c>
    </row>
    <row r="90" spans="1:9" x14ac:dyDescent="0.2">
      <c r="A90" t="s">
        <v>209</v>
      </c>
      <c r="B90" t="s">
        <v>234</v>
      </c>
      <c r="C90" t="s">
        <v>178</v>
      </c>
      <c r="D90" t="s">
        <v>135</v>
      </c>
      <c r="E90" t="s">
        <v>162</v>
      </c>
      <c r="F90" t="s">
        <v>162</v>
      </c>
      <c r="G90" t="s">
        <v>162</v>
      </c>
      <c r="H90" t="s">
        <v>135</v>
      </c>
      <c r="I90" t="s">
        <v>206</v>
      </c>
    </row>
    <row r="91" spans="1:9" x14ac:dyDescent="0.2">
      <c r="A91" t="s">
        <v>210</v>
      </c>
      <c r="B91" t="s">
        <v>234</v>
      </c>
    </row>
    <row r="92" spans="1:9" x14ac:dyDescent="0.2">
      <c r="A92" t="s">
        <v>211</v>
      </c>
      <c r="B92" t="s">
        <v>284</v>
      </c>
      <c r="C92" t="s">
        <v>229</v>
      </c>
    </row>
    <row r="93" spans="1:9" x14ac:dyDescent="0.2">
      <c r="A93" t="s">
        <v>148</v>
      </c>
      <c r="B93" t="s">
        <v>285</v>
      </c>
      <c r="C93" t="s">
        <v>61</v>
      </c>
    </row>
    <row r="94" spans="1:9" x14ac:dyDescent="0.2">
      <c r="A94" t="s">
        <v>215</v>
      </c>
      <c r="B94" t="s">
        <v>286</v>
      </c>
      <c r="C94" t="s">
        <v>217</v>
      </c>
    </row>
    <row r="95" spans="1:9" x14ac:dyDescent="0.2">
      <c r="A95" t="s">
        <v>218</v>
      </c>
      <c r="B95" t="s">
        <v>287</v>
      </c>
      <c r="C95" t="s">
        <v>220</v>
      </c>
    </row>
    <row r="96" spans="1:9" x14ac:dyDescent="0.2">
      <c r="A96" t="s">
        <v>221</v>
      </c>
      <c r="B96" t="s">
        <v>234</v>
      </c>
      <c r="C96" t="s">
        <v>161</v>
      </c>
      <c r="D96" t="s">
        <v>161</v>
      </c>
      <c r="E96" t="s">
        <v>157</v>
      </c>
      <c r="F96" t="s">
        <v>162</v>
      </c>
      <c r="G96" t="s">
        <v>134</v>
      </c>
      <c r="H96" t="s">
        <v>134</v>
      </c>
      <c r="I96" t="s">
        <v>163</v>
      </c>
    </row>
    <row r="97" spans="1:9" x14ac:dyDescent="0.2">
      <c r="A97" t="s">
        <v>222</v>
      </c>
      <c r="B97" t="s">
        <v>234</v>
      </c>
      <c r="C97" t="s">
        <v>161</v>
      </c>
      <c r="D97" t="s">
        <v>161</v>
      </c>
      <c r="E97" t="s">
        <v>157</v>
      </c>
      <c r="F97" t="s">
        <v>162</v>
      </c>
      <c r="G97" t="s">
        <v>134</v>
      </c>
      <c r="H97" t="s">
        <v>134</v>
      </c>
      <c r="I97" t="s">
        <v>163</v>
      </c>
    </row>
    <row r="98" spans="1:9" x14ac:dyDescent="0.2">
      <c r="A98" t="s">
        <v>223</v>
      </c>
      <c r="B98" t="s">
        <v>234</v>
      </c>
      <c r="C98" t="s">
        <v>161</v>
      </c>
      <c r="D98" t="s">
        <v>161</v>
      </c>
      <c r="E98" t="s">
        <v>157</v>
      </c>
      <c r="F98" t="s">
        <v>162</v>
      </c>
      <c r="G98" t="s">
        <v>162</v>
      </c>
      <c r="H98" t="s">
        <v>134</v>
      </c>
      <c r="I98" t="s">
        <v>163</v>
      </c>
    </row>
    <row r="99" spans="1:9" x14ac:dyDescent="0.2">
      <c r="A99" t="s">
        <v>224</v>
      </c>
      <c r="B99" t="s">
        <v>234</v>
      </c>
      <c r="C99" t="s">
        <v>178</v>
      </c>
      <c r="D99" t="s">
        <v>175</v>
      </c>
      <c r="E99" t="s">
        <v>162</v>
      </c>
      <c r="F99" t="s">
        <v>162</v>
      </c>
      <c r="G99" t="s">
        <v>162</v>
      </c>
      <c r="H99" t="s">
        <v>135</v>
      </c>
      <c r="I99" t="s">
        <v>206</v>
      </c>
    </row>
    <row r="100" spans="1:9" x14ac:dyDescent="0.2">
      <c r="A100" t="s">
        <v>225</v>
      </c>
      <c r="B100" t="s">
        <v>234</v>
      </c>
      <c r="C100" t="s">
        <v>178</v>
      </c>
      <c r="D100" t="s">
        <v>175</v>
      </c>
      <c r="E100" t="s">
        <v>162</v>
      </c>
      <c r="F100" t="s">
        <v>162</v>
      </c>
      <c r="G100" t="s">
        <v>162</v>
      </c>
      <c r="H100" t="s">
        <v>135</v>
      </c>
      <c r="I100" t="s">
        <v>206</v>
      </c>
    </row>
    <row r="101" spans="1:9" x14ac:dyDescent="0.2">
      <c r="A101" t="s">
        <v>226</v>
      </c>
      <c r="B101" t="s">
        <v>234</v>
      </c>
      <c r="C101" t="s">
        <v>178</v>
      </c>
      <c r="D101" t="s">
        <v>135</v>
      </c>
      <c r="E101" t="s">
        <v>162</v>
      </c>
      <c r="F101" t="s">
        <v>162</v>
      </c>
      <c r="G101" t="s">
        <v>162</v>
      </c>
      <c r="H101" t="s">
        <v>135</v>
      </c>
      <c r="I101" t="s">
        <v>206</v>
      </c>
    </row>
    <row r="102" spans="1:9" x14ac:dyDescent="0.2">
      <c r="A102" t="s">
        <v>227</v>
      </c>
      <c r="B102" t="s">
        <v>234</v>
      </c>
    </row>
    <row r="103" spans="1:9" x14ac:dyDescent="0.2">
      <c r="A103" t="s">
        <v>211</v>
      </c>
      <c r="B103" t="s">
        <v>288</v>
      </c>
      <c r="C103" t="s">
        <v>289</v>
      </c>
    </row>
    <row r="104" spans="1:9" x14ac:dyDescent="0.2">
      <c r="A104" t="s">
        <v>148</v>
      </c>
      <c r="B104" t="s">
        <v>290</v>
      </c>
      <c r="C104" t="s">
        <v>291</v>
      </c>
    </row>
    <row r="105" spans="1:9" x14ac:dyDescent="0.2">
      <c r="A105" t="s">
        <v>215</v>
      </c>
      <c r="B105" t="s">
        <v>292</v>
      </c>
      <c r="C105" t="s">
        <v>16</v>
      </c>
    </row>
    <row r="106" spans="1:9" x14ac:dyDescent="0.2">
      <c r="A106" t="s">
        <v>218</v>
      </c>
      <c r="B106" t="s">
        <v>293</v>
      </c>
      <c r="C106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tab1</vt:lpstr>
      <vt:lpstr>tab2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Conejeros</cp:lastModifiedBy>
  <dcterms:created xsi:type="dcterms:W3CDTF">2025-07-08T16:41:41Z</dcterms:created>
  <dcterms:modified xsi:type="dcterms:W3CDTF">2025-07-08T22:09:09Z</dcterms:modified>
</cp:coreProperties>
</file>